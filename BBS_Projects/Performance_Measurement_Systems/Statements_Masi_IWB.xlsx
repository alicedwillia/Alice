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lice/Downloads/"/>
    </mc:Choice>
  </mc:AlternateContent>
  <xr:revisionPtr revIDLastSave="0" documentId="8_{1F881FDD-D0F4-2848-AB50-3F708419966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1. IWB Income Statements" sheetId="1" r:id="rId1"/>
    <sheet name="2. IWB Balance Sheet" sheetId="2" r:id="rId2"/>
    <sheet name="3. IWB Cash-Flow" sheetId="3" r:id="rId3"/>
    <sheet name="4. MASI Income Statements" sheetId="4" r:id="rId4"/>
    <sheet name="5. MASI Balance Sheet" sheetId="5" r:id="rId5"/>
    <sheet name="6. MASI Cash Flow" sheetId="6" r:id="rId6"/>
    <sheet name="7. Horizontal Analysis" sheetId="7" r:id="rId7"/>
    <sheet name="8. Vertical Analysis" sheetId="8" r:id="rId8"/>
    <sheet name="9. Ratios Categories" sheetId="9" r:id="rId9"/>
    <sheet name="10. Performance Ratio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9" i="10" l="1"/>
  <c r="M88" i="10"/>
  <c r="M87" i="10"/>
  <c r="M86" i="10"/>
  <c r="H85" i="10"/>
  <c r="M79" i="10"/>
  <c r="G79" i="10"/>
  <c r="E79" i="10"/>
  <c r="M78" i="10"/>
  <c r="G78" i="10"/>
  <c r="E78" i="10"/>
  <c r="M77" i="10"/>
  <c r="G77" i="10"/>
  <c r="E77" i="10"/>
  <c r="M76" i="10"/>
  <c r="G76" i="10"/>
  <c r="E76" i="10"/>
  <c r="C75" i="10"/>
  <c r="K67" i="10"/>
  <c r="L67" i="10" s="1"/>
  <c r="M67" i="10" s="1"/>
  <c r="E67" i="10"/>
  <c r="F67" i="10" s="1"/>
  <c r="K66" i="10"/>
  <c r="L66" i="10" s="1"/>
  <c r="M66" i="10" s="1"/>
  <c r="E66" i="10"/>
  <c r="F66" i="10" s="1"/>
  <c r="G66" i="10" s="1"/>
  <c r="L65" i="10"/>
  <c r="M65" i="10" s="1"/>
  <c r="K65" i="10"/>
  <c r="F65" i="10"/>
  <c r="E65" i="10"/>
  <c r="L64" i="10"/>
  <c r="M64" i="10" s="1"/>
  <c r="K64" i="10"/>
  <c r="E64" i="10"/>
  <c r="F64" i="10" s="1"/>
  <c r="L63" i="10"/>
  <c r="K63" i="10"/>
  <c r="E63" i="10"/>
  <c r="F63" i="10" s="1"/>
  <c r="K57" i="10"/>
  <c r="H89" i="10" s="1"/>
  <c r="E57" i="10"/>
  <c r="H79" i="10" s="1"/>
  <c r="I79" i="10" s="1"/>
  <c r="K56" i="10"/>
  <c r="H88" i="10" s="1"/>
  <c r="I88" i="10" s="1"/>
  <c r="E56" i="10"/>
  <c r="H78" i="10" s="1"/>
  <c r="K55" i="10"/>
  <c r="H87" i="10" s="1"/>
  <c r="E55" i="10"/>
  <c r="H77" i="10" s="1"/>
  <c r="K54" i="10"/>
  <c r="H86" i="10" s="1"/>
  <c r="I86" i="10" s="1"/>
  <c r="E54" i="10"/>
  <c r="H76" i="10" s="1"/>
  <c r="I76" i="10" s="1"/>
  <c r="K53" i="10"/>
  <c r="E53" i="10"/>
  <c r="H75" i="10" s="1"/>
  <c r="K47" i="10"/>
  <c r="F89" i="10" s="1"/>
  <c r="G89" i="10" s="1"/>
  <c r="E47" i="10"/>
  <c r="K46" i="10"/>
  <c r="F88" i="10" s="1"/>
  <c r="E46" i="10"/>
  <c r="K45" i="10"/>
  <c r="F87" i="10" s="1"/>
  <c r="G87" i="10" s="1"/>
  <c r="E45" i="10"/>
  <c r="K44" i="10"/>
  <c r="F86" i="10" s="1"/>
  <c r="E44" i="10"/>
  <c r="K43" i="10"/>
  <c r="F85" i="10" s="1"/>
  <c r="E43" i="10"/>
  <c r="L36" i="10"/>
  <c r="K36" i="10"/>
  <c r="E36" i="10"/>
  <c r="F36" i="10" s="1"/>
  <c r="K35" i="10"/>
  <c r="L35" i="10" s="1"/>
  <c r="E35" i="10"/>
  <c r="F35" i="10" s="1"/>
  <c r="K34" i="10"/>
  <c r="L34" i="10" s="1"/>
  <c r="E34" i="10"/>
  <c r="F34" i="10" s="1"/>
  <c r="G34" i="10" s="1"/>
  <c r="L33" i="10"/>
  <c r="K33" i="10"/>
  <c r="F33" i="10"/>
  <c r="E33" i="10"/>
  <c r="K32" i="10"/>
  <c r="L32" i="10" s="1"/>
  <c r="D85" i="10" s="1"/>
  <c r="E32" i="10"/>
  <c r="F32" i="10" s="1"/>
  <c r="G33" i="10" s="1"/>
  <c r="L26" i="10"/>
  <c r="M26" i="10" s="1"/>
  <c r="K26" i="10"/>
  <c r="C89" i="10" s="1"/>
  <c r="E26" i="10"/>
  <c r="F26" i="10" s="1"/>
  <c r="G26" i="10" s="1"/>
  <c r="L25" i="10"/>
  <c r="M25" i="10" s="1"/>
  <c r="K25" i="10"/>
  <c r="C88" i="10" s="1"/>
  <c r="F25" i="10"/>
  <c r="E25" i="10"/>
  <c r="C78" i="10" s="1"/>
  <c r="L24" i="10"/>
  <c r="K24" i="10"/>
  <c r="C87" i="10" s="1"/>
  <c r="E24" i="10"/>
  <c r="F24" i="10" s="1"/>
  <c r="K23" i="10"/>
  <c r="C86" i="10" s="1"/>
  <c r="E23" i="10"/>
  <c r="F23" i="10" s="1"/>
  <c r="G23" i="10" s="1"/>
  <c r="K22" i="10"/>
  <c r="C85" i="10" s="1"/>
  <c r="F22" i="10"/>
  <c r="E22" i="10"/>
  <c r="AA70" i="9"/>
  <c r="Z70" i="9"/>
  <c r="Y70" i="9"/>
  <c r="X70" i="9"/>
  <c r="W70" i="9"/>
  <c r="Q70" i="9"/>
  <c r="AA67" i="9"/>
  <c r="Z67" i="9"/>
  <c r="Y67" i="9"/>
  <c r="X67" i="9"/>
  <c r="W67" i="9"/>
  <c r="U67" i="9"/>
  <c r="T67" i="9"/>
  <c r="S67" i="9"/>
  <c r="R67" i="9"/>
  <c r="Q67" i="9"/>
  <c r="AA64" i="9"/>
  <c r="Z64" i="9"/>
  <c r="Y64" i="9"/>
  <c r="M17" i="9" s="1"/>
  <c r="X64" i="9"/>
  <c r="W64" i="9"/>
  <c r="AA61" i="9"/>
  <c r="Z61" i="9"/>
  <c r="Y61" i="9"/>
  <c r="X61" i="9"/>
  <c r="W61" i="9"/>
  <c r="U61" i="9"/>
  <c r="T61" i="9"/>
  <c r="S61" i="9"/>
  <c r="R61" i="9"/>
  <c r="Q61" i="9"/>
  <c r="AA58" i="9"/>
  <c r="Z58" i="9"/>
  <c r="Y58" i="9"/>
  <c r="X58" i="9"/>
  <c r="W58" i="9"/>
  <c r="U58" i="9"/>
  <c r="T58" i="9"/>
  <c r="S58" i="9"/>
  <c r="R58" i="9"/>
  <c r="Q58" i="9"/>
  <c r="AA54" i="9"/>
  <c r="Z54" i="9"/>
  <c r="Y54" i="9"/>
  <c r="X54" i="9"/>
  <c r="W54" i="9"/>
  <c r="U54" i="9"/>
  <c r="T54" i="9"/>
  <c r="S54" i="9"/>
  <c r="R54" i="9"/>
  <c r="Q54" i="9"/>
  <c r="AA51" i="9"/>
  <c r="Z51" i="9"/>
  <c r="Y51" i="9"/>
  <c r="X51" i="9"/>
  <c r="W51" i="9"/>
  <c r="U51" i="9"/>
  <c r="T51" i="9"/>
  <c r="S51" i="9"/>
  <c r="R51" i="9"/>
  <c r="Q51" i="9"/>
  <c r="AA48" i="9"/>
  <c r="Z48" i="9"/>
  <c r="Y48" i="9"/>
  <c r="X48" i="9"/>
  <c r="W48" i="9"/>
  <c r="U48" i="9"/>
  <c r="T48" i="9"/>
  <c r="S48" i="9"/>
  <c r="R48" i="9"/>
  <c r="Q48" i="9"/>
  <c r="U44" i="9"/>
  <c r="G5" i="9" s="1"/>
  <c r="T44" i="9"/>
  <c r="T45" i="9" s="1"/>
  <c r="S44" i="9"/>
  <c r="S45" i="9" s="1"/>
  <c r="R44" i="9"/>
  <c r="Q44" i="9"/>
  <c r="Q45" i="9" s="1"/>
  <c r="AA42" i="9"/>
  <c r="O22" i="9" s="1"/>
  <c r="Z42" i="9"/>
  <c r="N22" i="9" s="1"/>
  <c r="Y42" i="9"/>
  <c r="X42" i="9"/>
  <c r="L22" i="9" s="1"/>
  <c r="W42" i="9"/>
  <c r="K22" i="9" s="1"/>
  <c r="AA39" i="9"/>
  <c r="O8" i="9" s="1"/>
  <c r="Z39" i="9"/>
  <c r="N21" i="9" s="1"/>
  <c r="Y39" i="9"/>
  <c r="M8" i="9" s="1"/>
  <c r="X39" i="9"/>
  <c r="L8" i="9" s="1"/>
  <c r="W39" i="9"/>
  <c r="K5" i="9" s="1"/>
  <c r="U39" i="9"/>
  <c r="T39" i="9"/>
  <c r="F21" i="9" s="1"/>
  <c r="S39" i="9"/>
  <c r="R39" i="9"/>
  <c r="Q39" i="9"/>
  <c r="C21" i="9" s="1"/>
  <c r="AA36" i="9"/>
  <c r="Z36" i="9"/>
  <c r="N18" i="9" s="1"/>
  <c r="Y36" i="9"/>
  <c r="X36" i="9"/>
  <c r="W36" i="9"/>
  <c r="U36" i="9"/>
  <c r="T36" i="9"/>
  <c r="S36" i="9"/>
  <c r="R36" i="9"/>
  <c r="Q36" i="9"/>
  <c r="C18" i="9" s="1"/>
  <c r="AA33" i="9"/>
  <c r="O6" i="9" s="1"/>
  <c r="Z33" i="9"/>
  <c r="Y33" i="9"/>
  <c r="X33" i="9"/>
  <c r="W33" i="9"/>
  <c r="U33" i="9"/>
  <c r="G18" i="9" s="1"/>
  <c r="T33" i="9"/>
  <c r="S33" i="9"/>
  <c r="E6" i="9" s="1"/>
  <c r="R33" i="9"/>
  <c r="D6" i="9" s="1"/>
  <c r="Q33" i="9"/>
  <c r="AA30" i="9"/>
  <c r="Z30" i="9"/>
  <c r="Y30" i="9"/>
  <c r="X30" i="9"/>
  <c r="L7" i="9" s="1"/>
  <c r="W30" i="9"/>
  <c r="AA28" i="9"/>
  <c r="O16" i="9" s="1"/>
  <c r="Z28" i="9"/>
  <c r="N16" i="9" s="1"/>
  <c r="Y28" i="9"/>
  <c r="X28" i="9"/>
  <c r="W28" i="9"/>
  <c r="U28" i="9"/>
  <c r="G17" i="9" s="1"/>
  <c r="T28" i="9"/>
  <c r="F17" i="9" s="1"/>
  <c r="S28" i="9"/>
  <c r="E17" i="9" s="1"/>
  <c r="R28" i="9"/>
  <c r="D17" i="9" s="1"/>
  <c r="Q28" i="9"/>
  <c r="C17" i="9" s="1"/>
  <c r="AA25" i="9"/>
  <c r="Z25" i="9"/>
  <c r="Y25" i="9"/>
  <c r="X25" i="9"/>
  <c r="W25" i="9"/>
  <c r="K16" i="9" s="1"/>
  <c r="AA22" i="9"/>
  <c r="Z22" i="9"/>
  <c r="Y22" i="9"/>
  <c r="X22" i="9"/>
  <c r="W22" i="9"/>
  <c r="U22" i="9"/>
  <c r="T22" i="9"/>
  <c r="S22" i="9"/>
  <c r="R22" i="9"/>
  <c r="Q22" i="9"/>
  <c r="M22" i="9"/>
  <c r="G21" i="9"/>
  <c r="E21" i="9"/>
  <c r="D21" i="9"/>
  <c r="AA19" i="9"/>
  <c r="Z19" i="9"/>
  <c r="Y19" i="9"/>
  <c r="X19" i="9"/>
  <c r="W19" i="9"/>
  <c r="U19" i="9"/>
  <c r="G23" i="9" s="1"/>
  <c r="T19" i="9"/>
  <c r="S19" i="9"/>
  <c r="E23" i="9" s="1"/>
  <c r="R19" i="9"/>
  <c r="Q19" i="9"/>
  <c r="L18" i="9"/>
  <c r="K18" i="9"/>
  <c r="N17" i="9"/>
  <c r="AA16" i="9"/>
  <c r="Z16" i="9"/>
  <c r="Y16" i="9"/>
  <c r="X16" i="9"/>
  <c r="W16" i="9"/>
  <c r="U16" i="9"/>
  <c r="T16" i="9"/>
  <c r="S16" i="9"/>
  <c r="E13" i="9" s="1"/>
  <c r="R16" i="9"/>
  <c r="D13" i="9" s="1"/>
  <c r="Q16" i="9"/>
  <c r="M16" i="9"/>
  <c r="L16" i="9"/>
  <c r="AA13" i="9"/>
  <c r="Z13" i="9"/>
  <c r="Y13" i="9"/>
  <c r="M11" i="9" s="1"/>
  <c r="X13" i="9"/>
  <c r="L13" i="9" s="1"/>
  <c r="W13" i="9"/>
  <c r="U13" i="9"/>
  <c r="T13" i="9"/>
  <c r="S13" i="9"/>
  <c r="R13" i="9"/>
  <c r="Q13" i="9"/>
  <c r="C13" i="9" s="1"/>
  <c r="N13" i="9"/>
  <c r="F13" i="9"/>
  <c r="G11" i="9"/>
  <c r="AA10" i="9"/>
  <c r="O12" i="9" s="1"/>
  <c r="Z10" i="9"/>
  <c r="Y10" i="9"/>
  <c r="M12" i="9" s="1"/>
  <c r="X10" i="9"/>
  <c r="W10" i="9"/>
  <c r="U10" i="9"/>
  <c r="G12" i="9" s="1"/>
  <c r="T10" i="9"/>
  <c r="F11" i="9" s="1"/>
  <c r="S10" i="9"/>
  <c r="E11" i="9" s="1"/>
  <c r="R10" i="9"/>
  <c r="D12" i="9" s="1"/>
  <c r="Q10" i="9"/>
  <c r="G8" i="9"/>
  <c r="F8" i="9"/>
  <c r="E8" i="9"/>
  <c r="D8" i="9"/>
  <c r="G7" i="9"/>
  <c r="F7" i="9"/>
  <c r="E7" i="9"/>
  <c r="D7" i="9"/>
  <c r="G6" i="9"/>
  <c r="C6" i="9"/>
  <c r="O5" i="9"/>
  <c r="N5" i="9"/>
  <c r="D5" i="9"/>
  <c r="C5" i="9"/>
  <c r="M21" i="7"/>
  <c r="N21" i="7" s="1"/>
  <c r="K21" i="7"/>
  <c r="L21" i="7" s="1"/>
  <c r="I21" i="7"/>
  <c r="J21" i="7" s="1"/>
  <c r="H21" i="7"/>
  <c r="G21" i="7"/>
  <c r="M20" i="7"/>
  <c r="N20" i="7" s="1"/>
  <c r="K20" i="7"/>
  <c r="L20" i="7" s="1"/>
  <c r="I20" i="7"/>
  <c r="J20" i="7" s="1"/>
  <c r="H20" i="7"/>
  <c r="G20" i="7"/>
  <c r="M19" i="7"/>
  <c r="N19" i="7" s="1"/>
  <c r="K19" i="7"/>
  <c r="L19" i="7" s="1"/>
  <c r="I19" i="7"/>
  <c r="J19" i="7" s="1"/>
  <c r="H19" i="7"/>
  <c r="G19" i="7"/>
  <c r="I18" i="7"/>
  <c r="J18" i="7" s="1"/>
  <c r="H18" i="7"/>
  <c r="G18" i="7"/>
  <c r="F18" i="7"/>
  <c r="E18" i="7"/>
  <c r="K18" i="7" s="1"/>
  <c r="L18" i="7" s="1"/>
  <c r="D18" i="7"/>
  <c r="C18" i="7"/>
  <c r="B18" i="7"/>
  <c r="N17" i="7"/>
  <c r="M17" i="7"/>
  <c r="L17" i="7"/>
  <c r="K17" i="7"/>
  <c r="J17" i="7"/>
  <c r="I17" i="7"/>
  <c r="G17" i="7"/>
  <c r="H17" i="7" s="1"/>
  <c r="N16" i="7"/>
  <c r="M16" i="7"/>
  <c r="L16" i="7"/>
  <c r="K16" i="7"/>
  <c r="J16" i="7"/>
  <c r="I16" i="7"/>
  <c r="G16" i="7"/>
  <c r="H16" i="7" s="1"/>
  <c r="N15" i="7"/>
  <c r="M15" i="7"/>
  <c r="L15" i="7"/>
  <c r="K15" i="7"/>
  <c r="J15" i="7"/>
  <c r="I15" i="7"/>
  <c r="G15" i="7"/>
  <c r="H15" i="7" s="1"/>
  <c r="N8" i="7"/>
  <c r="M8" i="7"/>
  <c r="L8" i="7"/>
  <c r="K8" i="7"/>
  <c r="J8" i="7"/>
  <c r="I8" i="7"/>
  <c r="G8" i="7"/>
  <c r="H8" i="7" s="1"/>
  <c r="N7" i="7"/>
  <c r="M7" i="7"/>
  <c r="L7" i="7"/>
  <c r="K7" i="7"/>
  <c r="J7" i="7"/>
  <c r="I7" i="7"/>
  <c r="G7" i="7"/>
  <c r="H7" i="7" s="1"/>
  <c r="N6" i="7"/>
  <c r="M6" i="7"/>
  <c r="L6" i="7"/>
  <c r="K6" i="7"/>
  <c r="J6" i="7"/>
  <c r="I6" i="7"/>
  <c r="G6" i="7"/>
  <c r="H6" i="7" s="1"/>
  <c r="F5" i="7"/>
  <c r="M5" i="7" s="1"/>
  <c r="N5" i="7" s="1"/>
  <c r="E5" i="7"/>
  <c r="K5" i="7" s="1"/>
  <c r="L5" i="7" s="1"/>
  <c r="D5" i="7"/>
  <c r="I5" i="7" s="1"/>
  <c r="J5" i="7" s="1"/>
  <c r="C5" i="7"/>
  <c r="G5" i="7" s="1"/>
  <c r="H5" i="7" s="1"/>
  <c r="B5" i="7"/>
  <c r="N4" i="7"/>
  <c r="M4" i="7"/>
  <c r="K4" i="7"/>
  <c r="L4" i="7" s="1"/>
  <c r="J4" i="7"/>
  <c r="I4" i="7"/>
  <c r="G4" i="7"/>
  <c r="H4" i="7" s="1"/>
  <c r="N3" i="7"/>
  <c r="M3" i="7"/>
  <c r="K3" i="7"/>
  <c r="L3" i="7" s="1"/>
  <c r="J3" i="7"/>
  <c r="I3" i="7"/>
  <c r="G3" i="7"/>
  <c r="H3" i="7" s="1"/>
  <c r="N2" i="7"/>
  <c r="M2" i="7"/>
  <c r="K2" i="7"/>
  <c r="L2" i="7" s="1"/>
  <c r="J2" i="7"/>
  <c r="I2" i="7"/>
  <c r="G2" i="7"/>
  <c r="H2" i="7" s="1"/>
  <c r="H58" i="3"/>
  <c r="G58" i="3"/>
  <c r="F58" i="3"/>
  <c r="E58" i="3"/>
  <c r="D58" i="3"/>
  <c r="E55" i="3"/>
  <c r="D55" i="3"/>
  <c r="H52" i="3"/>
  <c r="G52" i="3"/>
  <c r="F52" i="3"/>
  <c r="E52" i="3"/>
  <c r="D52" i="3"/>
  <c r="H36" i="3"/>
  <c r="G36" i="3"/>
  <c r="F36" i="3"/>
  <c r="E36" i="3"/>
  <c r="D36" i="3"/>
  <c r="H29" i="3"/>
  <c r="G29" i="3"/>
  <c r="H27" i="3"/>
  <c r="G27" i="3"/>
  <c r="F27" i="3"/>
  <c r="E27" i="3"/>
  <c r="E29" i="3" s="1"/>
  <c r="D27" i="3"/>
  <c r="H17" i="3"/>
  <c r="G17" i="3"/>
  <c r="F17" i="3"/>
  <c r="E17" i="3"/>
  <c r="D17" i="3"/>
  <c r="H12" i="3"/>
  <c r="G12" i="3"/>
  <c r="F12" i="3"/>
  <c r="F29" i="3" s="1"/>
  <c r="E12" i="3"/>
  <c r="D12" i="3"/>
  <c r="D29" i="3" s="1"/>
  <c r="D60" i="2"/>
  <c r="H56" i="2"/>
  <c r="G56" i="2"/>
  <c r="F56" i="2"/>
  <c r="E56" i="2"/>
  <c r="D56" i="2"/>
  <c r="H46" i="2"/>
  <c r="G46" i="2"/>
  <c r="F46" i="2"/>
  <c r="E46" i="2"/>
  <c r="D46" i="2"/>
  <c r="E38" i="2"/>
  <c r="E60" i="2" s="1"/>
  <c r="D38" i="2"/>
  <c r="H34" i="2"/>
  <c r="H38" i="2" s="1"/>
  <c r="H60" i="2" s="1"/>
  <c r="G34" i="2"/>
  <c r="G38" i="2" s="1"/>
  <c r="G60" i="2" s="1"/>
  <c r="F34" i="2"/>
  <c r="F38" i="2" s="1"/>
  <c r="F60" i="2" s="1"/>
  <c r="E34" i="2"/>
  <c r="D34" i="2"/>
  <c r="F25" i="2"/>
  <c r="E25" i="2"/>
  <c r="D25" i="2"/>
  <c r="I21" i="2"/>
  <c r="H21" i="2"/>
  <c r="H25" i="2" s="1"/>
  <c r="G21" i="2"/>
  <c r="F21" i="2"/>
  <c r="E21" i="2"/>
  <c r="D21" i="2"/>
  <c r="H12" i="2"/>
  <c r="G12" i="2"/>
  <c r="G25" i="2" s="1"/>
  <c r="F12" i="2"/>
  <c r="E12" i="2"/>
  <c r="D12" i="2"/>
  <c r="E13" i="1"/>
  <c r="E14" i="1" s="1"/>
  <c r="E8" i="1"/>
  <c r="K11" i="9" l="1"/>
  <c r="G13" i="9"/>
  <c r="O17" i="9"/>
  <c r="O21" i="9"/>
  <c r="U45" i="9"/>
  <c r="G22" i="9" s="1"/>
  <c r="K13" i="9"/>
  <c r="S25" i="9"/>
  <c r="E16" i="9" s="1"/>
  <c r="C8" i="9"/>
  <c r="F6" i="9"/>
  <c r="L17" i="9"/>
  <c r="O13" i="9"/>
  <c r="F23" i="9"/>
  <c r="S41" i="9"/>
  <c r="E22" i="9"/>
  <c r="R25" i="9"/>
  <c r="D16" i="9" s="1"/>
  <c r="E18" i="9"/>
  <c r="Q25" i="9"/>
  <c r="C16" i="9" s="1"/>
  <c r="U25" i="9"/>
  <c r="G16" i="9" s="1"/>
  <c r="K17" i="9"/>
  <c r="L23" i="9"/>
  <c r="K12" i="9"/>
  <c r="M23" i="9"/>
  <c r="E12" i="9"/>
  <c r="K7" i="9"/>
  <c r="E5" i="9"/>
  <c r="L6" i="9"/>
  <c r="N8" i="9"/>
  <c r="L5" i="9"/>
  <c r="M6" i="9"/>
  <c r="O7" i="9"/>
  <c r="M13" i="9"/>
  <c r="M18" i="9"/>
  <c r="T25" i="9"/>
  <c r="F16" i="9" s="1"/>
  <c r="L21" i="9"/>
  <c r="L12" i="9"/>
  <c r="M5" i="9"/>
  <c r="N6" i="9"/>
  <c r="C12" i="9"/>
  <c r="N12" i="9"/>
  <c r="D23" i="9"/>
  <c r="O23" i="9"/>
  <c r="D88" i="10"/>
  <c r="M35" i="10"/>
  <c r="G36" i="10"/>
  <c r="G38" i="10"/>
  <c r="Q41" i="9"/>
  <c r="C22" i="9"/>
  <c r="I77" i="10"/>
  <c r="M36" i="10"/>
  <c r="G88" i="10"/>
  <c r="I87" i="10"/>
  <c r="G64" i="10"/>
  <c r="M33" i="10"/>
  <c r="I78" i="10"/>
  <c r="G67" i="10"/>
  <c r="F22" i="9"/>
  <c r="T41" i="9"/>
  <c r="G24" i="10"/>
  <c r="G25" i="10"/>
  <c r="M34" i="10"/>
  <c r="D87" i="10"/>
  <c r="E87" i="10" s="1"/>
  <c r="M24" i="10"/>
  <c r="G35" i="10"/>
  <c r="G86" i="10"/>
  <c r="I89" i="10"/>
  <c r="G65" i="10"/>
  <c r="M18" i="7"/>
  <c r="N18" i="7" s="1"/>
  <c r="L23" i="10"/>
  <c r="K6" i="9"/>
  <c r="F12" i="9"/>
  <c r="K23" i="9"/>
  <c r="M38" i="10"/>
  <c r="D86" i="10"/>
  <c r="E86" i="10" s="1"/>
  <c r="D89" i="10"/>
  <c r="L11" i="9"/>
  <c r="C77" i="10"/>
  <c r="D18" i="9"/>
  <c r="O18" i="9"/>
  <c r="K21" i="9"/>
  <c r="L22" i="10"/>
  <c r="C11" i="9"/>
  <c r="N11" i="9"/>
  <c r="C23" i="9"/>
  <c r="N23" i="9"/>
  <c r="C76" i="10"/>
  <c r="F5" i="9"/>
  <c r="M7" i="9"/>
  <c r="K8" i="9"/>
  <c r="D11" i="9"/>
  <c r="O11" i="9"/>
  <c r="F18" i="9"/>
  <c r="M21" i="9"/>
  <c r="R45" i="9"/>
  <c r="D22" i="9" s="1"/>
  <c r="C7" i="9"/>
  <c r="N7" i="9"/>
  <c r="C79" i="10"/>
  <c r="U41" i="9" l="1"/>
  <c r="R41" i="9"/>
  <c r="M23" i="10"/>
  <c r="E89" i="10"/>
  <c r="E8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2" authorId="0" shapeId="0" xr:uid="{00000000-0006-0000-0300-000001000000}">
      <text>
        <r>
          <rPr>
            <sz val="10"/>
            <color rgb="FF000000"/>
            <rFont val="Arial"/>
            <scheme val="minor"/>
          </rPr>
          <t xml:space="preserve">risultato negativo dovuto ad straordinari elevati oneri finanziari .
</t>
        </r>
      </text>
    </comment>
  </commentList>
</comments>
</file>

<file path=xl/sharedStrings.xml><?xml version="1.0" encoding="utf-8"?>
<sst xmlns="http://schemas.openxmlformats.org/spreadsheetml/2006/main" count="792" uniqueCount="577">
  <si>
    <t>IWB Comprehensive Income Statement</t>
  </si>
  <si>
    <t>Amounts in EUR</t>
  </si>
  <si>
    <t>Revenue from sales</t>
  </si>
  <si>
    <t>Change in inventories</t>
  </si>
  <si>
    <t>Other income</t>
  </si>
  <si>
    <t>Total revenue</t>
  </si>
  <si>
    <t>Purchase costs</t>
  </si>
  <si>
    <t>Costs for	services</t>
  </si>
  <si>
    <t>Personnel costs</t>
  </si>
  <si>
    <t>Other operating costs</t>
  </si>
  <si>
    <t>Operating costs</t>
  </si>
  <si>
    <t>EBITDA</t>
  </si>
  <si>
    <t>Depreciation and	amortization</t>
  </si>
  <si>
    <t>Provision for	risks</t>
  </si>
  <si>
    <t>-</t>
  </si>
  <si>
    <t>Write-ups / (Write-downs)</t>
  </si>
  <si>
    <t>Operating profit/(loss)</t>
  </si>
  <si>
    <t>Financial income</t>
  </si>
  <si>
    <t>Borrowing costs</t>
  </si>
  <si>
    <t>Net financial	income/(expenses)</t>
  </si>
  <si>
    <t>EBIT</t>
  </si>
  <si>
    <t>Taxes</t>
  </si>
  <si>
    <t>(Loss) Profit	from	discontinued	operations</t>
  </si>
  <si>
    <t>Profit (loss)	(A)</t>
  </si>
  <si>
    <t>Attributable to:</t>
  </si>
  <si>
    <t>Non-controlling interests</t>
  </si>
  <si>
    <t>Group profit	(loss)</t>
  </si>
  <si>
    <t>Other profit/(loss) of comprehensive income statement:</t>
  </si>
  <si>
    <t>Other items of the comprehensive income statement for the period to be subsequently released to profit or loss</t>
  </si>
  <si>
    <t>Other items of the comprehensive income statement for the period not to be subsequently released to profit or loss</t>
  </si>
  <si>
    <t>Actuarial gains/(losses) on defined benefit plans</t>
  </si>
  <si>
    <t>Tax effect of Other profit/(loss)</t>
  </si>
  <si>
    <t>Total other profit/(loss), net of tax effect (B)</t>
  </si>
  <si>
    <t xml:space="preserve">Total comprehensive profit/(loss) (A) + (B) </t>
  </si>
  <si>
    <r>
      <rPr>
        <u/>
        <sz val="10"/>
        <color rgb="FF1155CC"/>
        <rFont val="Arial"/>
      </rPr>
      <t xml:space="preserve">p.30 from </t>
    </r>
    <r>
      <rPr>
        <u/>
        <sz val="10"/>
        <color rgb="FF1155CC"/>
        <rFont val="Arial"/>
      </rPr>
      <t>https://www.italianwinebrands.it/wp-content/uploads/2021/03/IWB-Fascicolo-completo-consolidato-31.12.20-inglese.pdf</t>
    </r>
  </si>
  <si>
    <r>
      <rPr>
        <u/>
        <sz val="10"/>
        <color rgb="FF1155CC"/>
        <rFont val="Arial"/>
      </rPr>
      <t xml:space="preserve">p.38 from </t>
    </r>
    <r>
      <rPr>
        <u/>
        <sz val="10"/>
        <color rgb="FF1155CC"/>
        <rFont val="Arial"/>
      </rPr>
      <t>https://www.italianwinebrands.it/wp-content/uploads/2022/04/IWB-Fascicolo-completo-esercizio-e-consolidato-31.12.21-inglese.pdf</t>
    </r>
  </si>
  <si>
    <r>
      <rPr>
        <u/>
        <sz val="10"/>
        <color rgb="FF1155CC"/>
        <rFont val="Arial"/>
      </rPr>
      <t xml:space="preserve">p.43 from </t>
    </r>
    <r>
      <rPr>
        <u/>
        <sz val="10"/>
        <color rgb="FF1155CC"/>
        <rFont val="Arial"/>
      </rPr>
      <t>https://www.italianwinebrands.it/wp-content/uploads/2023/04/2022-12-31-IWB-Consolidatedseparate-annual-financial-report-signed.pdf</t>
    </r>
  </si>
  <si>
    <r>
      <rPr>
        <u/>
        <sz val="10"/>
        <color rgb="FF1155CC"/>
        <rFont val="Arial"/>
      </rPr>
      <t xml:space="preserve">p.55 from </t>
    </r>
    <r>
      <rPr>
        <u/>
        <sz val="10"/>
        <color rgb="FF1155CC"/>
        <rFont val="Arial"/>
      </rPr>
      <t>https://www.italianwinebrands.it/wp-content/uploads/2024/04/2023-12-31-IWB-Consolidated-separate-annual-financial-report.pdf</t>
    </r>
  </si>
  <si>
    <r>
      <rPr>
        <u/>
        <sz val="10"/>
        <color rgb="FF1155CC"/>
        <rFont val="Arial"/>
      </rPr>
      <t xml:space="preserve">p.59 from </t>
    </r>
    <r>
      <rPr>
        <u/>
        <sz val="10"/>
        <color rgb="FF1155CC"/>
        <rFont val="Arial"/>
      </rPr>
      <t>https://www.italianwinebrands.it/wp-content/uploads/2025/04/IWB-Fascicolo-completo-esercizio-e-consolidato-31.12.24-inglese-1.pdf</t>
    </r>
  </si>
  <si>
    <t>IWB Balance Sheet</t>
  </si>
  <si>
    <t>Non-current Assets</t>
  </si>
  <si>
    <t>Intangibles</t>
  </si>
  <si>
    <t>Goodwill</t>
  </si>
  <si>
    <t>Land, Property, Plant and Equipment</t>
  </si>
  <si>
    <t>Right of use Assets</t>
  </si>
  <si>
    <t>Equity Investments</t>
  </si>
  <si>
    <t>Other Non-current assets</t>
  </si>
  <si>
    <t>Deferred tax assets</t>
  </si>
  <si>
    <t>Total non-current assets</t>
  </si>
  <si>
    <t>Current Assets</t>
  </si>
  <si>
    <t>Inventory</t>
  </si>
  <si>
    <t>Trade recievables</t>
  </si>
  <si>
    <t>Other Current Assets</t>
  </si>
  <si>
    <t>Current Tax Assets</t>
  </si>
  <si>
    <t>Current Financial Assets</t>
  </si>
  <si>
    <t>Cash and cash equivalents</t>
  </si>
  <si>
    <t>Total current assets</t>
  </si>
  <si>
    <t>Non current assets held for sale</t>
  </si>
  <si>
    <t>Total Assets</t>
  </si>
  <si>
    <t>Shareholders equity</t>
  </si>
  <si>
    <t>Share capital</t>
  </si>
  <si>
    <t>Reserves</t>
  </si>
  <si>
    <t>Reserves for defined benefit plane</t>
  </si>
  <si>
    <t>Reserve for stock grants</t>
  </si>
  <si>
    <t>Profit (Loss) carried forwards</t>
  </si>
  <si>
    <t>Net profit (loss) for the period</t>
  </si>
  <si>
    <t>Total shareholders Equity of parent company shareholders</t>
  </si>
  <si>
    <t>Shareholders equity of NCIs</t>
  </si>
  <si>
    <t xml:space="preserve">Total Shareholders Equity </t>
  </si>
  <si>
    <t>Non - Current Liabilities</t>
  </si>
  <si>
    <t>Financial Payables</t>
  </si>
  <si>
    <t>Right-of-use liabilities</t>
  </si>
  <si>
    <t xml:space="preserve">Provision for other employee benefits </t>
  </si>
  <si>
    <t>Provisions for future risks and charges</t>
  </si>
  <si>
    <t>deferred tax liabilities</t>
  </si>
  <si>
    <t>Total non-current liabilities</t>
  </si>
  <si>
    <t>Financial payables</t>
  </si>
  <si>
    <t>Trade Payables</t>
  </si>
  <si>
    <t>Other current liabilities</t>
  </si>
  <si>
    <t>Current Tax Liabilities</t>
  </si>
  <si>
    <t>Derivatives</t>
  </si>
  <si>
    <t>Total Current Liabilities</t>
  </si>
  <si>
    <t>Liabilities directly related to assets held for sales</t>
  </si>
  <si>
    <t>Total shareholders equity and liabilities</t>
  </si>
  <si>
    <t>IWB Cash Flow</t>
  </si>
  <si>
    <t>2020</t>
  </si>
  <si>
    <t>2021</t>
  </si>
  <si>
    <t>2022</t>
  </si>
  <si>
    <t>2023</t>
  </si>
  <si>
    <t>2024</t>
  </si>
  <si>
    <t>Profit (Loss) Before taxes</t>
  </si>
  <si>
    <t>Adjustements for:</t>
  </si>
  <si>
    <t>- Non monetary items - stock grant</t>
  </si>
  <si>
    <t>- Allocations to the provision for bad debts net of utilisations</t>
  </si>
  <si>
    <t>- Non-monetary items - provisions / (Releases)</t>
  </si>
  <si>
    <t>- Non-monetary items - Amortisation/ Depreciation</t>
  </si>
  <si>
    <t>Adjustment profit (Loss) for the perio before taxes</t>
  </si>
  <si>
    <t>Cash flow generated by operations</t>
  </si>
  <si>
    <t>Income tax paid</t>
  </si>
  <si>
    <t>Other financial (income)/expenses without cash flor (financial amortisation)</t>
  </si>
  <si>
    <t>Total</t>
  </si>
  <si>
    <t>Changes in working capital</t>
  </si>
  <si>
    <t>Changes in recievables from customers</t>
  </si>
  <si>
    <t>Change in trade payables</t>
  </si>
  <si>
    <t>Change in other recievables and other payables</t>
  </si>
  <si>
    <t>Other Changes</t>
  </si>
  <si>
    <t>Change in post employement benefits and other provisions</t>
  </si>
  <si>
    <t>Change in other provisions and deferred taxes</t>
  </si>
  <si>
    <t>Cash flow from operations</t>
  </si>
  <si>
    <t>Capital Expenditure</t>
  </si>
  <si>
    <t>-Tangible</t>
  </si>
  <si>
    <t>-Intangibble</t>
  </si>
  <si>
    <t>- Net cash flow from business combination (*)</t>
  </si>
  <si>
    <t>- Financial</t>
  </si>
  <si>
    <t>Cash flow from investment activities (2)</t>
  </si>
  <si>
    <t>Financial Assets</t>
  </si>
  <si>
    <t>Short term borrowings</t>
  </si>
  <si>
    <t>Short term borrowing (paid)</t>
  </si>
  <si>
    <t>Long term borrowings (Repayments) - Bonds</t>
  </si>
  <si>
    <t>Collections / (Repayments) Senior Loan</t>
  </si>
  <si>
    <t>Collectionts / (Repayments) other financial payables</t>
  </si>
  <si>
    <t>Change in other financial assets</t>
  </si>
  <si>
    <t>Change in other financial liabilities</t>
  </si>
  <si>
    <t>Purchase of own chares</t>
  </si>
  <si>
    <t>Sale of own shares</t>
  </si>
  <si>
    <t>Dividens paid</t>
  </si>
  <si>
    <t xml:space="preserve">Monerary Capital increases </t>
  </si>
  <si>
    <t>Change in reserve for stock grants</t>
  </si>
  <si>
    <t>Other changes in shareholders equity</t>
  </si>
  <si>
    <t>Cash flow from financing activities (3)</t>
  </si>
  <si>
    <t>Cash flow from conitnueing operations</t>
  </si>
  <si>
    <t>Change in cash and cash equivalents (1+2+3)</t>
  </si>
  <si>
    <t>Cash and cash equivalents at beggining of period</t>
  </si>
  <si>
    <t>Cash and cash equivalends at end of period</t>
  </si>
  <si>
    <t>MASI Conto Economico Consolidato</t>
  </si>
  <si>
    <t>MASI Income Statement</t>
  </si>
  <si>
    <t>Voce italiana</t>
  </si>
  <si>
    <t>IFRS-style English label</t>
  </si>
  <si>
    <t>Ricavi</t>
  </si>
  <si>
    <t>Revenue</t>
  </si>
  <si>
    <t>Costo di	acquisto	e	produzione	del	venduto</t>
  </si>
  <si>
    <t>Cost of goods sold (COGS)</t>
  </si>
  <si>
    <t>Margine Industriale	lordo</t>
  </si>
  <si>
    <t>Gross profit</t>
  </si>
  <si>
    <t>Costi per	servizi</t>
  </si>
  <si>
    <t>Services / Operating expenses</t>
  </si>
  <si>
    <t>Costi per	il	personale</t>
  </si>
  <si>
    <t>Personnel expenses</t>
  </si>
  <si>
    <t>Altri costi	operativi</t>
  </si>
  <si>
    <t>Altri ricavi	e	proventi</t>
  </si>
  <si>
    <t>Risultato operativo	lordo</t>
  </si>
  <si>
    <t>Ammortamenti</t>
  </si>
  <si>
    <t>Depreciation &amp; amortisation</t>
  </si>
  <si>
    <t>Svalutazioni e	accantonamenti</t>
  </si>
  <si>
    <t>Impairment &amp; provisions</t>
  </si>
  <si>
    <t>Risultato operativo</t>
  </si>
  <si>
    <t>Proventi finanziari</t>
  </si>
  <si>
    <t>Finance income</t>
  </si>
  <si>
    <t>Oneri finanziari</t>
  </si>
  <si>
    <t>Finance costs</t>
  </si>
  <si>
    <t>(Oneri)/Proventi da	partecipazioni</t>
  </si>
  <si>
    <t>Income/(loss) from equity investments</t>
  </si>
  <si>
    <t>Utili (perdite)	su	cambi</t>
  </si>
  <si>
    <t>FX gains/losses</t>
  </si>
  <si>
    <t>Risultato prima	delle	imposte</t>
  </si>
  <si>
    <t>Profit/(loss) before tax (EBT)</t>
  </si>
  <si>
    <t>Imposte sul	reddito</t>
  </si>
  <si>
    <t>Income taxes</t>
  </si>
  <si>
    <t>Risultato dell'esercizio</t>
  </si>
  <si>
    <t>Profit/(loss) for the year</t>
  </si>
  <si>
    <t>Attribuibile a:</t>
  </si>
  <si>
    <t>Azionisti della	capogruppo</t>
  </si>
  <si>
    <t>Profit attributable to owners of the parent</t>
  </si>
  <si>
    <t>Azionisti di	minoranza</t>
  </si>
  <si>
    <t>Profit attributable to non-controlling interests</t>
  </si>
  <si>
    <t>Utile per	azione</t>
  </si>
  <si>
    <t>0.14*</t>
  </si>
  <si>
    <t>Utile diluito	per	azione</t>
  </si>
  <si>
    <r>
      <rPr>
        <u/>
        <sz val="10"/>
        <color rgb="FF1155CC"/>
        <rFont val="Arial"/>
      </rPr>
      <t xml:space="preserve">p.16 from </t>
    </r>
    <r>
      <rPr>
        <u/>
        <sz val="10"/>
        <color rgb="FF1155CC"/>
        <rFont val="Arial"/>
      </rPr>
      <t>https://media.masi.it/media/media/krkeveaq/v2_bilancio_consolidato_31_12_2020.pdf</t>
    </r>
  </si>
  <si>
    <r>
      <rPr>
        <u/>
        <sz val="10"/>
        <color rgb="FF1155CC"/>
        <rFont val="Arial"/>
      </rPr>
      <t xml:space="preserve">p.16 from </t>
    </r>
    <r>
      <rPr>
        <u/>
        <sz val="10"/>
        <color rgb="FF1155CC"/>
        <rFont val="Arial"/>
      </rPr>
      <t>https://media.masi.it/media/media/r12jfam1/bilancio_consolidato_al_31_dicembre_2021_0.pdf</t>
    </r>
  </si>
  <si>
    <r>
      <rPr>
        <u/>
        <sz val="10"/>
        <color rgb="FF1155CC"/>
        <rFont val="Arial"/>
      </rPr>
      <t xml:space="preserve">p.18 from </t>
    </r>
    <r>
      <rPr>
        <u/>
        <sz val="10"/>
        <color rgb="FF1155CC"/>
        <rFont val="Arial"/>
      </rPr>
      <t>https://media.masi.it/media/media/50vbnsbw/bilancio_consolidato_esercizio_chiuso_al_31_dicembre_2022.pdf</t>
    </r>
  </si>
  <si>
    <r>
      <rPr>
        <u/>
        <sz val="10"/>
        <color rgb="FF1155CC"/>
        <rFont val="Arial"/>
      </rPr>
      <t xml:space="preserve">p.15 from </t>
    </r>
    <r>
      <rPr>
        <u/>
        <sz val="10"/>
        <color rgb="FF1155CC"/>
        <rFont val="Arial"/>
      </rPr>
      <t>https://media.masi.it/media/media/mytlvcec/masiagricola_bilancio_consolidato_311223.pdf</t>
    </r>
  </si>
  <si>
    <r>
      <rPr>
        <u/>
        <sz val="10"/>
        <color rgb="FF1155CC"/>
        <rFont val="Arial"/>
      </rPr>
      <t xml:space="preserve">p.16 from </t>
    </r>
    <r>
      <rPr>
        <u/>
        <sz val="10"/>
        <color rgb="FF1155CC"/>
        <rFont val="Arial"/>
      </rPr>
      <t>https://media.masi.it/media/media/zxbnlbqv/masi_bilancio_consolidato_2024.pdf</t>
    </r>
  </si>
  <si>
    <t>MASI Situazione patrimoniale-finanziaria consolidata</t>
  </si>
  <si>
    <t>MASI Balance Sheet</t>
  </si>
  <si>
    <t>Attività non-correnti</t>
  </si>
  <si>
    <t>Avviamento</t>
  </si>
  <si>
    <t>Immobilizzazioni immateriali</t>
  </si>
  <si>
    <t>Intangible assets</t>
  </si>
  <si>
    <t>Immobilizzazioni materiali</t>
  </si>
  <si>
    <t>Property, plant and equipment (PPE)</t>
  </si>
  <si>
    <t>Attività agricole	e	biologiche</t>
  </si>
  <si>
    <t>Biological assets</t>
  </si>
  <si>
    <t>Attività per	diritti	d'uso</t>
  </si>
  <si>
    <t>Right-of-use assets (IFRS 16)</t>
  </si>
  <si>
    <t>Partecipazioni</t>
  </si>
  <si>
    <t>Investments in associates / equity investments</t>
  </si>
  <si>
    <t>Altre attività	finanziarie	non	correnti</t>
  </si>
  <si>
    <t>Other non-current financial assets</t>
  </si>
  <si>
    <t>Rimanenze di	magazzino	non	correnti</t>
  </si>
  <si>
    <t>Inventories – aging &gt;12 months</t>
  </si>
  <si>
    <t>Altre attività	non	correnti</t>
  </si>
  <si>
    <t>Other non-current assets</t>
  </si>
  <si>
    <t>Attività per	imposte	anticipate</t>
  </si>
  <si>
    <t>Totale Attività	non	correnti</t>
  </si>
  <si>
    <t>Attività correnti</t>
  </si>
  <si>
    <t>Rimanenze di	magazzino</t>
  </si>
  <si>
    <t>Inventories</t>
  </si>
  <si>
    <t>Crediti commerciali</t>
  </si>
  <si>
    <t>Trade receivables</t>
  </si>
  <si>
    <t>Crediti tributari</t>
  </si>
  <si>
    <t>Tax receivables</t>
  </si>
  <si>
    <t>Altre attività	correnti</t>
  </si>
  <si>
    <t>Other current assets</t>
  </si>
  <si>
    <t>Altre attività	finanziarie	correnti</t>
  </si>
  <si>
    <t>Other current financial assets</t>
  </si>
  <si>
    <t>Disponibilità liquide e mezzi equivalenti</t>
  </si>
  <si>
    <t>Totale Attività	correnti</t>
  </si>
  <si>
    <t>Totale Attività</t>
  </si>
  <si>
    <t>Total assets</t>
  </si>
  <si>
    <t>Patrimonio netto	e	Passività</t>
  </si>
  <si>
    <t>Patrimonio netto</t>
  </si>
  <si>
    <t>Capitale sociale</t>
  </si>
  <si>
    <t>Riserva legale</t>
  </si>
  <si>
    <t>Legal reserve</t>
  </si>
  <si>
    <t>Altre riserve</t>
  </si>
  <si>
    <t>Other reserves (incl. OCI and other equity reserves)</t>
  </si>
  <si>
    <t>Utili/(Perdita) a nuovo</t>
  </si>
  <si>
    <t>Retained earnings (brought forward)</t>
  </si>
  <si>
    <t>Risultato d'esercizio</t>
  </si>
  <si>
    <t>Patrimonio netto di gruppo</t>
  </si>
  <si>
    <t>Equity attributable to owners of the parent</t>
  </si>
  <si>
    <t>Patrimonio netto	di	terzi</t>
  </si>
  <si>
    <t>Totale Patrimonio	netto</t>
  </si>
  <si>
    <t>Total equity</t>
  </si>
  <si>
    <t>Passività non-correnti</t>
  </si>
  <si>
    <t>Passività finanziarie	non	correnti</t>
  </si>
  <si>
    <t>Non-current financial liabilities / Borrowings</t>
  </si>
  <si>
    <t>Passività fin.	non	correnti	per	leasing</t>
  </si>
  <si>
    <t>Lease liabilities – non-current (IFRS 16)</t>
  </si>
  <si>
    <t>Fondi rischi	ed	oneri	non	correnti</t>
  </si>
  <si>
    <t>Provisions – non-current</t>
  </si>
  <si>
    <t>Passività nette	per	benefici	a	dipendenti</t>
  </si>
  <si>
    <t>Employee benefit obligations (defined benefit)</t>
  </si>
  <si>
    <t>Altri debiti	e	passività	non	correnti</t>
  </si>
  <si>
    <t>Other non-current liabilities</t>
  </si>
  <si>
    <t>Passività per	imposte	differite</t>
  </si>
  <si>
    <t>Deferred tax liabilities</t>
  </si>
  <si>
    <t>Totale Passività	non-correnti</t>
  </si>
  <si>
    <t>Passività correnti</t>
  </si>
  <si>
    <t>Passività finanziarie	correnti</t>
  </si>
  <si>
    <t>Current financial liabilities / Borrowings</t>
  </si>
  <si>
    <t>Passività fin.	correnti	per	leasing</t>
  </si>
  <si>
    <t>Lease liabilities – current</t>
  </si>
  <si>
    <t>Debiti commerciali</t>
  </si>
  <si>
    <t>Trade payables</t>
  </si>
  <si>
    <t>Altri debiti	e	passività	correnti</t>
  </si>
  <si>
    <t>Debiti tributari</t>
  </si>
  <si>
    <t>Current tax liabilities</t>
  </si>
  <si>
    <t>Totale Passività	correnti</t>
  </si>
  <si>
    <t>Total current liabilities</t>
  </si>
  <si>
    <t>Totale Passività</t>
  </si>
  <si>
    <t>Total liabilities</t>
  </si>
  <si>
    <t>Totale Patrimonio netto</t>
  </si>
  <si>
    <t>Totale Patrimonio	netto	e	Passività</t>
  </si>
  <si>
    <t>MASI Cash Flow</t>
  </si>
  <si>
    <t>Risultato netto</t>
  </si>
  <si>
    <t>Profit (loss) for the year</t>
  </si>
  <si>
    <t>5.393.988</t>
  </si>
  <si>
    <t>4.453.512</t>
  </si>
  <si>
    <t>(1.069.922)</t>
  </si>
  <si>
    <t>Depreciation and amortisation</t>
  </si>
  <si>
    <t>4.005.177</t>
  </si>
  <si>
    <t>4.184.110</t>
  </si>
  <si>
    <t>4.348.252</t>
  </si>
  <si>
    <t>4.196.768</t>
  </si>
  <si>
    <t>4.272.175</t>
  </si>
  <si>
    <t>Rettifiche per elementi non monetari</t>
  </si>
  <si>
    <t>Non-cash adjustments</t>
  </si>
  <si>
    <t>Imposte sul reddito</t>
  </si>
  <si>
    <t>Income taxes (P&amp;L)</t>
  </si>
  <si>
    <t>2.459.852</t>
  </si>
  <si>
    <t>2.219.528</t>
  </si>
  <si>
    <t>Oneri finanziari netti di competenza</t>
  </si>
  <si>
    <t>Net finance costs</t>
  </si>
  <si>
    <t>2.110.713</t>
  </si>
  <si>
    <t>1.477.243</t>
  </si>
  <si>
    <t>2.273.396</t>
  </si>
  <si>
    <t>FLUSSI GENERATI DALLA GESTIONE CORRENTE (A)</t>
  </si>
  <si>
    <t>Cash flows from current operations (A)</t>
  </si>
  <si>
    <t>5.494.568</t>
  </si>
  <si>
    <t>12.943.759</t>
  </si>
  <si>
    <t>13.247.062</t>
  </si>
  <si>
    <t>7.259.942</t>
  </si>
  <si>
    <t>6.013.322</t>
  </si>
  <si>
    <t>Variazioni delle attività e passività (capitale circolante)</t>
  </si>
  <si>
    <t>Rimanenze</t>
  </si>
  <si>
    <t>(2.488.140)</t>
  </si>
  <si>
    <t>(2.795.480)</t>
  </si>
  <si>
    <t>(5.932.243)</t>
  </si>
  <si>
    <t>3.616.245</t>
  </si>
  <si>
    <t>(2.932.955)</t>
  </si>
  <si>
    <t>1.715.063</t>
  </si>
  <si>
    <t>4.202.203</t>
  </si>
  <si>
    <t>(2.564.468)</t>
  </si>
  <si>
    <t>Impairment of trade receivables</t>
  </si>
  <si>
    <t>4.443.249</t>
  </si>
  <si>
    <t>(1.222.367)</t>
  </si>
  <si>
    <t>Altre attività e passività</t>
  </si>
  <si>
    <t>Other assets and liabilities</t>
  </si>
  <si>
    <t>1.475.033</t>
  </si>
  <si>
    <t>FLUSSI ASSORBITI DA MOVIMENTI DI CAPITALE CIRCOLANTE NETTO (B)</t>
  </si>
  <si>
    <t>Cash flows used in change in net working capital (B)</t>
  </si>
  <si>
    <t>4.190.816</t>
  </si>
  <si>
    <t>(3.065.135)</t>
  </si>
  <si>
    <t>(3.781.230)</t>
  </si>
  <si>
    <t>Altre rettifiche</t>
  </si>
  <si>
    <t>Other operating adjustments</t>
  </si>
  <si>
    <t>Pagamento imposte sul reddito</t>
  </si>
  <si>
    <t>Income taxes paid</t>
  </si>
  <si>
    <t>(1.288.267)</t>
  </si>
  <si>
    <t>(1.489.913)</t>
  </si>
  <si>
    <t>Interessi incassati (pagati)</t>
  </si>
  <si>
    <t>Interest received (paid)</t>
  </si>
  <si>
    <t>(2.193.213)</t>
  </si>
  <si>
    <t>(1.405.403)</t>
  </si>
  <si>
    <t>(2.024.058)</t>
  </si>
  <si>
    <t>Dividendi incassati</t>
  </si>
  <si>
    <t>Dividends received</t>
  </si>
  <si>
    <t>Tfr</t>
  </si>
  <si>
    <t>Post-employment benefits (TFR)</t>
  </si>
  <si>
    <t>TOTALE ALTRE RETTIFICHE</t>
  </si>
  <si>
    <t>Total other adjustments</t>
  </si>
  <si>
    <t>(1.005.557)</t>
  </si>
  <si>
    <t>(2.107.885)</t>
  </si>
  <si>
    <t>(3.642.122)</t>
  </si>
  <si>
    <t>(2.022.573)</t>
  </si>
  <si>
    <t>(2.441.600)</t>
  </si>
  <si>
    <t>FLUSSI FINANZIARI DELLA GESTIONE OPERATIVA (A+B)</t>
  </si>
  <si>
    <t>Net cash from operating activities</t>
  </si>
  <si>
    <t>8.679.827</t>
  </si>
  <si>
    <t>11.224.741</t>
  </si>
  <si>
    <t>6.539.805</t>
  </si>
  <si>
    <t>4.308.605</t>
  </si>
  <si>
    <t>Attività di investimento</t>
  </si>
  <si>
    <t>Investing activities</t>
  </si>
  <si>
    <t>Investimenti in immobilizzazioni materiali</t>
  </si>
  <si>
    <t>Additions to property, plant and equipment</t>
  </si>
  <si>
    <t>(4.719.120)</t>
  </si>
  <si>
    <t>(7.688.354)</t>
  </si>
  <si>
    <t>(8.752.606)</t>
  </si>
  <si>
    <t>(7.674.287)</t>
  </si>
  <si>
    <t>(11.415.728)</t>
  </si>
  <si>
    <t>Altri flussi finanziari da immobilizzazioni materiali</t>
  </si>
  <si>
    <t>Other cash flows from PPE</t>
  </si>
  <si>
    <t>Investimenti in immobilizzazioni immateriali</t>
  </si>
  <si>
    <t>Additions to intangible assets</t>
  </si>
  <si>
    <t>Altri flussi finanziari da immobilizzazioni immateriali</t>
  </si>
  <si>
    <t>Other cash flows from intangible assets</t>
  </si>
  <si>
    <t>Altri flussi finanziari da immobilizzazioni finanziarie</t>
  </si>
  <si>
    <t>Other cash flows from financial assets</t>
  </si>
  <si>
    <t>(5.966.819)</t>
  </si>
  <si>
    <t>(2.044.405)</t>
  </si>
  <si>
    <t>2.198.312</t>
  </si>
  <si>
    <t>4.776.831</t>
  </si>
  <si>
    <t>FLUSSI ASSORBITI DALLA GESTIONE DI INVESTIMENTO (C)</t>
  </si>
  <si>
    <t>Net cash used in investing activities (C)</t>
  </si>
  <si>
    <t>-4.010.753</t>
  </si>
  <si>
    <t>(13.838.313)</t>
  </si>
  <si>
    <t>(10.806.841)</t>
  </si>
  <si>
    <t>(5.312.357)</t>
  </si>
  <si>
    <t>(6.700.846)</t>
  </si>
  <si>
    <t>FLUSSI ASSORBITI DALLA GESTIONE OPERATIVA E DI INVESTIMENTO (A+B+C)</t>
  </si>
  <si>
    <t>Net cash from operating &amp; investing activities (A+B+C)</t>
  </si>
  <si>
    <t>3.838.859</t>
  </si>
  <si>
    <t>(2.613.573)</t>
  </si>
  <si>
    <t>(4.267.036)</t>
  </si>
  <si>
    <t>(1.003.752)</t>
  </si>
  <si>
    <t>(6.910.354)</t>
  </si>
  <si>
    <t>Gestione finanziaria</t>
  </si>
  <si>
    <t>Financing activities</t>
  </si>
  <si>
    <t>Rimborso debiti finanziari a medio lungo termine</t>
  </si>
  <si>
    <t>Repayment of medium/long-term borrowings</t>
  </si>
  <si>
    <t>(6.893.685)</t>
  </si>
  <si>
    <t>(4.013.607)</t>
  </si>
  <si>
    <t>(6.207.862)</t>
  </si>
  <si>
    <t>(7.721.546)</t>
  </si>
  <si>
    <t>(11.476.805)</t>
  </si>
  <si>
    <t>Incremento (decremento) debiti finanziari a breve termine</t>
  </si>
  <si>
    <t>Increase (decrease) in short-term borrowings</t>
  </si>
  <si>
    <t>19.750.000</t>
  </si>
  <si>
    <t>13.241.392</t>
  </si>
  <si>
    <t>14.008.969</t>
  </si>
  <si>
    <t>Accensione finanziamenti</t>
  </si>
  <si>
    <t>Proceeds from borrowings</t>
  </si>
  <si>
    <t>9.252.866</t>
  </si>
  <si>
    <t>9.000.000</t>
  </si>
  <si>
    <t>Dividendi pagati</t>
  </si>
  <si>
    <t>Dividends paid</t>
  </si>
  <si>
    <t>(3.215.116)</t>
  </si>
  <si>
    <t>(2.572.092)</t>
  </si>
  <si>
    <t>(1.929.069)</t>
  </si>
  <si>
    <t>Pagamenti di passività per leasing</t>
  </si>
  <si>
    <t>Lease liabilities – payments (IFRS 16)</t>
  </si>
  <si>
    <t>(1.053.424)</t>
  </si>
  <si>
    <t>(1.255.461)</t>
  </si>
  <si>
    <t>(1.292.971)</t>
  </si>
  <si>
    <t>FLUSSI FINANZIARI DELLA GESTIONE FINANZIARIA (D)</t>
  </si>
  <si>
    <t>Net cash from (used in) financing activities (D)</t>
  </si>
  <si>
    <t>12.168.422</t>
  </si>
  <si>
    <t>10.588.208</t>
  </si>
  <si>
    <t>4.175.591</t>
  </si>
  <si>
    <t>(1.653.211)</t>
  </si>
  <si>
    <t>(4.734.311)</t>
  </si>
  <si>
    <t>Effetti non monetari applicazione IAS 21 IAS 29 (E)</t>
  </si>
  <si>
    <t>Non-cash FX / hyperinflation effects (E)</t>
  </si>
  <si>
    <t>(1.908.042)</t>
  </si>
  <si>
    <t>2.716.191</t>
  </si>
  <si>
    <t>INCREMENTO (DECREMENTO) DELLE DISPONIBILITÀ LIQUIDE (A+B+C+D+E)</t>
  </si>
  <si>
    <t>Increase (decrease) in cash and cash equivalents</t>
  </si>
  <si>
    <t>15.087.904</t>
  </si>
  <si>
    <t>6.981.657</t>
  </si>
  <si>
    <t>(4.565.005)</t>
  </si>
  <si>
    <t>(8.928.474)</t>
  </si>
  <si>
    <t>Disponibilità liquide all’inizio del periodo</t>
  </si>
  <si>
    <t>Cash and cash equivalents at beginning of year</t>
  </si>
  <si>
    <t>5.428.286</t>
  </si>
  <si>
    <t>20.516.190</t>
  </si>
  <si>
    <t>27.497.847</t>
  </si>
  <si>
    <t>28.244.900</t>
  </si>
  <si>
    <t>23.679.895</t>
  </si>
  <si>
    <t>Disponibilità liquide alla fine del periodo</t>
  </si>
  <si>
    <t>Cash and cash equivalents at end of year</t>
  </si>
  <si>
    <t>14.751.421</t>
  </si>
  <si>
    <t>Italian Wine Brands ( in € )</t>
  </si>
  <si>
    <t>△2020 -- 2021</t>
  </si>
  <si>
    <t>%2020 -- 2021</t>
  </si>
  <si>
    <t>△2021 -- 2022</t>
  </si>
  <si>
    <t>%2021 -- 2022</t>
  </si>
  <si>
    <t>△2022 -- 2023</t>
  </si>
  <si>
    <t>%2022 -- 2023</t>
  </si>
  <si>
    <t>△2023 -- 2024</t>
  </si>
  <si>
    <t>%2023 -- 2024</t>
  </si>
  <si>
    <r>
      <rPr>
        <b/>
        <sz val="10"/>
        <color theme="1"/>
        <rFont val="Arial"/>
      </rPr>
      <t>Revenue</t>
    </r>
    <r>
      <rPr>
        <sz val="10"/>
        <color theme="1"/>
        <rFont val="Arial"/>
      </rPr>
      <t xml:space="preserve"> ("Total revenue")</t>
    </r>
  </si>
  <si>
    <t>Purchase Costs</t>
  </si>
  <si>
    <t>Costs for Services</t>
  </si>
  <si>
    <r>
      <rPr>
        <b/>
        <sz val="10"/>
        <color theme="1"/>
        <rFont val="Arial"/>
      </rPr>
      <t>Selling, General and Administrative Expenses</t>
    </r>
    <r>
      <rPr>
        <sz val="10"/>
        <color theme="1"/>
        <rFont val="Arial"/>
      </rPr>
      <t xml:space="preserve"> ("Personnel Costs" + "Other Operating Costs")</t>
    </r>
  </si>
  <si>
    <r>
      <rPr>
        <b/>
        <sz val="10"/>
        <color theme="1"/>
        <rFont val="Arial"/>
      </rPr>
      <t>Amortization</t>
    </r>
    <r>
      <rPr>
        <sz val="10"/>
        <color theme="1"/>
        <rFont val="Arial"/>
      </rPr>
      <t xml:space="preserve"> ("Depreciation and amortization")</t>
    </r>
  </si>
  <si>
    <r>
      <rPr>
        <b/>
        <sz val="10"/>
        <color theme="1"/>
        <rFont val="Arial"/>
      </rPr>
      <t>Income Before Tax</t>
    </r>
    <r>
      <rPr>
        <sz val="10"/>
        <color theme="1"/>
        <rFont val="Arial"/>
      </rPr>
      <t xml:space="preserve"> ("EBT")</t>
    </r>
  </si>
  <si>
    <r>
      <rPr>
        <b/>
        <sz val="10"/>
        <color theme="1"/>
        <rFont val="Arial"/>
      </rPr>
      <t>Net Income</t>
    </r>
    <r>
      <rPr>
        <sz val="10"/>
        <color theme="1"/>
        <rFont val="Arial"/>
      </rPr>
      <t xml:space="preserve"> ("Profit (loss) (A)")</t>
    </r>
  </si>
  <si>
    <t>△Old--New = New - Old</t>
  </si>
  <si>
    <t>%Old--New = (New - Old) / Old</t>
  </si>
  <si>
    <t>MASI Wines ( in € )</t>
  </si>
  <si>
    <r>
      <rPr>
        <b/>
        <sz val="10"/>
        <color theme="1"/>
        <rFont val="Arial"/>
      </rPr>
      <t>Revenues</t>
    </r>
    <r>
      <rPr>
        <sz val="10"/>
        <color theme="1"/>
        <rFont val="Arial"/>
      </rPr>
      <t xml:space="preserve"> ("Ricavi")</t>
    </r>
  </si>
  <si>
    <r>
      <rPr>
        <b/>
        <sz val="10"/>
        <color theme="1"/>
        <rFont val="Arial"/>
      </rPr>
      <t xml:space="preserve">Purchase Costs </t>
    </r>
    <r>
      <rPr>
        <sz val="10"/>
        <color theme="1"/>
        <rFont val="Arial"/>
      </rPr>
      <t>("Costo di acquisto e produzione del venduto")</t>
    </r>
  </si>
  <si>
    <r>
      <rPr>
        <b/>
        <sz val="10"/>
        <color theme="1"/>
        <rFont val="Arial"/>
      </rPr>
      <t>Cost for Services</t>
    </r>
    <r>
      <rPr>
        <sz val="10"/>
        <color theme="1"/>
        <rFont val="Arial"/>
      </rPr>
      <t xml:space="preserve"> ("Costi per servizi")</t>
    </r>
  </si>
  <si>
    <r>
      <rPr>
        <b/>
        <sz val="10"/>
        <color theme="1"/>
        <rFont val="Arial"/>
      </rPr>
      <t>Selling, General and Administrative Expenses</t>
    </r>
    <r>
      <rPr>
        <sz val="10"/>
        <color theme="1"/>
        <rFont val="Arial"/>
      </rPr>
      <t xml:space="preserve"> ("Costi per il personale" + "Altri costi operativi")</t>
    </r>
  </si>
  <si>
    <r>
      <rPr>
        <b/>
        <sz val="10"/>
        <color theme="1"/>
        <rFont val="Arial"/>
      </rPr>
      <t>Depreciation</t>
    </r>
    <r>
      <rPr>
        <sz val="10"/>
        <color theme="1"/>
        <rFont val="Arial"/>
      </rPr>
      <t xml:space="preserve"> ("Ammortamenti")</t>
    </r>
  </si>
  <si>
    <r>
      <rPr>
        <b/>
        <sz val="10"/>
        <color theme="1"/>
        <rFont val="Arial"/>
      </rPr>
      <t xml:space="preserve">Income Before Tax </t>
    </r>
    <r>
      <rPr>
        <sz val="10"/>
        <color theme="1"/>
        <rFont val="Arial"/>
      </rPr>
      <t>("Risultato prima delle imposte")</t>
    </r>
  </si>
  <si>
    <r>
      <rPr>
        <b/>
        <sz val="10"/>
        <color theme="1"/>
        <rFont val="Arial"/>
      </rPr>
      <t>Net Income</t>
    </r>
    <r>
      <rPr>
        <sz val="10"/>
        <color theme="1"/>
        <rFont val="Arial"/>
      </rPr>
      <t xml:space="preserve"> ("Risultato dell'esercizio")</t>
    </r>
  </si>
  <si>
    <t>IWB</t>
  </si>
  <si>
    <t>Revenues</t>
  </si>
  <si>
    <t>Cost of service</t>
  </si>
  <si>
    <t xml:space="preserve">Depriciation </t>
  </si>
  <si>
    <t>Income before tax</t>
  </si>
  <si>
    <t>Net income</t>
  </si>
  <si>
    <t>MASI</t>
  </si>
  <si>
    <t>Years</t>
  </si>
  <si>
    <t>Ratio</t>
  </si>
  <si>
    <t>IWB PROFITABILITY RATIOS</t>
  </si>
  <si>
    <t>Gross Profit margin</t>
  </si>
  <si>
    <t>MASI PROFITABILITY RATIOS</t>
  </si>
  <si>
    <t>EBIT Margin</t>
  </si>
  <si>
    <t>EBITDA Margin</t>
  </si>
  <si>
    <t>Profit Margin</t>
  </si>
  <si>
    <t>Tot Curr Assets</t>
  </si>
  <si>
    <t>IWB LIQUIDITY RATIOS</t>
  </si>
  <si>
    <t>Current Ratio</t>
  </si>
  <si>
    <t>MASI LIQUIDITY RATIOS</t>
  </si>
  <si>
    <t>Quick Ratio</t>
  </si>
  <si>
    <t>Tot Current Liabilities</t>
  </si>
  <si>
    <t>Cash Ratio</t>
  </si>
  <si>
    <t>Cash</t>
  </si>
  <si>
    <t>IWB SOLVENCY RATIOS</t>
  </si>
  <si>
    <t>Debt to Equity</t>
  </si>
  <si>
    <t>MASI SOLVENCY RATIOS</t>
  </si>
  <si>
    <t>Financial Leverage</t>
  </si>
  <si>
    <t>Interest Coverage</t>
  </si>
  <si>
    <t>IWB EFFICIENCY RATIOS</t>
  </si>
  <si>
    <t>Asset Turnover</t>
  </si>
  <si>
    <t>MASI EFFICIENCY RATIOS</t>
  </si>
  <si>
    <t>Inventory Turnover</t>
  </si>
  <si>
    <t>Receivables Turnover</t>
  </si>
  <si>
    <t xml:space="preserve">Total Debt </t>
  </si>
  <si>
    <t>8. Debt-to-Equity</t>
  </si>
  <si>
    <t>Total Equity</t>
  </si>
  <si>
    <t>1. Gross Profit</t>
  </si>
  <si>
    <t>Debt to Equity = Total Debt / Total Equity</t>
  </si>
  <si>
    <t>Gross Profit = Revenue – Cost of Goods Sold (COGS)</t>
  </si>
  <si>
    <t>(Some versions use “Total Liabilities” instead of “Total Debt”; be consistent with your model.)</t>
  </si>
  <si>
    <t>2. EBIT Margin</t>
  </si>
  <si>
    <t>9. Financial Leverage (Equity Multiplier)</t>
  </si>
  <si>
    <t>EBIT Margin = EBIT / Revenue</t>
  </si>
  <si>
    <t>Interest Expenses</t>
  </si>
  <si>
    <t>Financial Leverage = Total Assets / Total Equity</t>
  </si>
  <si>
    <t>3. EBITDA Margin</t>
  </si>
  <si>
    <t>Sales</t>
  </si>
  <si>
    <t>10. Interest Coverage</t>
  </si>
  <si>
    <t>EBITDA Margin = EBITDA / Revenue</t>
  </si>
  <si>
    <t>Interest Coverage = EBIT / Interest Expense</t>
  </si>
  <si>
    <t>COGS</t>
  </si>
  <si>
    <t>4. Profit Margin</t>
  </si>
  <si>
    <t>Efficiency / Turnover Ratios</t>
  </si>
  <si>
    <t>Profit Margin = Net Income / Revenue</t>
  </si>
  <si>
    <t>11. Asset Turnover</t>
  </si>
  <si>
    <t>current liab Financial payables</t>
  </si>
  <si>
    <t>5. Current Ratio</t>
  </si>
  <si>
    <t>Asset Turnover = Revenue / Total Assets</t>
  </si>
  <si>
    <t>Current Ratio = Current Assets / Current Liabilities</t>
  </si>
  <si>
    <t>right of use liabilities</t>
  </si>
  <si>
    <t>12. Inventory Turnover</t>
  </si>
  <si>
    <t>6. Quick Ratio (Acid Test)</t>
  </si>
  <si>
    <t>Inventory Turnover = COGS / Average Inventory</t>
  </si>
  <si>
    <t>trade payables</t>
  </si>
  <si>
    <t>Quick Ratio = (Current Assets – Inventory) / Current Liabilities</t>
  </si>
  <si>
    <t>or COGS / Inventory</t>
  </si>
  <si>
    <t xml:space="preserve">non curr liab financial payables </t>
  </si>
  <si>
    <t>7. Cash Ratio</t>
  </si>
  <si>
    <t>Cash Ratio = Cash &amp; Cash Equivalents / Current Liabilities</t>
  </si>
  <si>
    <t>13. Receivables Turnover</t>
  </si>
  <si>
    <t>Receivables Turnover = Revenue / Average Accounts Receivable</t>
  </si>
  <si>
    <t>or Revenue / Accounts Recievable</t>
  </si>
  <si>
    <t xml:space="preserve">profit </t>
  </si>
  <si>
    <t>profit</t>
  </si>
  <si>
    <t>Key Equations</t>
  </si>
  <si>
    <t>Industry Analysis ROE beverage industry in Italy from 2010 to 2019</t>
  </si>
  <si>
    <t>https://www.statista.com/statistics/1059568/roe-of-the-beverage-industry-in-italy/?srsltid=AfmBOoqZh5hJO8cZ4DODqqQnNC7lUZwYEnR7lF4sWquF5shKc8CzU61P</t>
  </si>
  <si>
    <t>Return on Equity</t>
  </si>
  <si>
    <t>Net income / Shareholders Equity</t>
  </si>
  <si>
    <t xml:space="preserve">ROE Beverage </t>
  </si>
  <si>
    <t>Net Income / Revenue</t>
  </si>
  <si>
    <t>https://www.statista.com/topics/4034/wine-market-in-europe/#topicOverview</t>
  </si>
  <si>
    <t>Revenue / Assets</t>
  </si>
  <si>
    <t>Equity Multiplier/Leverage</t>
  </si>
  <si>
    <t>Assets / Equity</t>
  </si>
  <si>
    <t>Return on Assets</t>
  </si>
  <si>
    <t>Net income / Total Assets</t>
  </si>
  <si>
    <t>Italian Wine Brands</t>
  </si>
  <si>
    <t>Masi Wines</t>
  </si>
  <si>
    <t>2010 - 2019</t>
  </si>
  <si>
    <t>Shareholders Equity</t>
  </si>
  <si>
    <t>ROE</t>
  </si>
  <si>
    <t>%</t>
  </si>
  <si>
    <t>(Yr change)</t>
  </si>
  <si>
    <t>Net Income</t>
  </si>
  <si>
    <t>2020-2024</t>
  </si>
  <si>
    <t>Cant chose which graph...</t>
  </si>
  <si>
    <t>Assets</t>
  </si>
  <si>
    <t>Asset Turnover 1</t>
  </si>
  <si>
    <t>Equity Multiplier / Leverage</t>
  </si>
  <si>
    <t xml:space="preserve"> </t>
  </si>
  <si>
    <t>Equity</t>
  </si>
  <si>
    <t>Equity Multiplier</t>
  </si>
  <si>
    <t>ROA</t>
  </si>
  <si>
    <t>Return on Equity Change Analysis</t>
  </si>
  <si>
    <t>ROE Change</t>
  </si>
  <si>
    <t xml:space="preserve">Reason </t>
  </si>
  <si>
    <t>ROE fell mainly due to a big drop in profitability and efficiency. The company used more leverage, but it wasn’t enough to offset the weaker fundamentals.</t>
  </si>
  <si>
    <t>ROE declined mainly because margins weakened again and leverage decreased.</t>
  </si>
  <si>
    <t>Operational improvements, better margin &amp; higher efficiency drove ROE higher despite lower leverage.</t>
  </si>
  <si>
    <t>ROE increased strongly due to profit margin expansion and gains in asset turno, even as leverage reduced. This is a healthier ROE improvement.</t>
  </si>
  <si>
    <t>Main driver for change is caused by weak leverage</t>
  </si>
  <si>
    <t>Main driver for ROE performance improvement was recovery in Profit Margin, most likely caused by recovery from COVID</t>
  </si>
  <si>
    <t>Slight decline of ROE, Profitability declines but turnover improves slightly</t>
  </si>
  <si>
    <t>Profitability declines by nearly 5%, main cause</t>
  </si>
  <si>
    <t>Profitability declines, asset turnover stabilises but leverage falls</t>
  </si>
  <si>
    <t>Main driver for change is caused by profitability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</si>
</sst>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0.000"/>
    <numFmt numFmtId="166" formatCode="#,##0.00;\(#,##0.00\)"/>
    <numFmt numFmtId="167" formatCode="#,##0.000;\(#,##0.000\)"/>
  </numFmts>
  <fonts count="3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u/>
      <sz val="10"/>
      <color rgb="FF1155CC"/>
      <name val="Arial"/>
    </font>
    <font>
      <u/>
      <sz val="10"/>
      <color rgb="FF1155CC"/>
      <name val="Arial"/>
    </font>
    <font>
      <sz val="11"/>
      <color theme="1"/>
      <name val="Arial"/>
      <scheme val="minor"/>
    </font>
    <font>
      <i/>
      <sz val="10"/>
      <color theme="1"/>
      <name val="Arial"/>
      <scheme val="minor"/>
    </font>
    <font>
      <sz val="10"/>
      <color rgb="FF28282B"/>
      <name val="Arial"/>
      <scheme val="minor"/>
    </font>
    <font>
      <b/>
      <sz val="10"/>
      <color rgb="FF28282B"/>
      <name val="Arial"/>
      <scheme val="minor"/>
    </font>
    <font>
      <sz val="13"/>
      <color theme="1"/>
      <name val="Arial"/>
      <scheme val="minor"/>
    </font>
    <font>
      <u/>
      <sz val="10"/>
      <color rgb="FF1155CC"/>
      <name val="Arial"/>
    </font>
    <font>
      <u/>
      <sz val="10"/>
      <color rgb="FF1155CC"/>
      <name val="Arial"/>
    </font>
    <font>
      <b/>
      <i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FF9900"/>
      <name val="Arial"/>
    </font>
    <font>
      <sz val="10"/>
      <color rgb="FF0000FF"/>
      <name val="Arial"/>
    </font>
    <font>
      <sz val="11"/>
      <color theme="1"/>
      <name val="Arial"/>
    </font>
    <font>
      <sz val="9"/>
      <color theme="1"/>
      <name val="Arial"/>
    </font>
    <font>
      <sz val="10"/>
      <name val="Arial"/>
    </font>
    <font>
      <sz val="8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i/>
      <sz val="18"/>
      <color theme="1"/>
      <name val="Arial"/>
      <scheme val="minor"/>
    </font>
    <font>
      <u/>
      <sz val="10"/>
      <color rgb="FF0000FF"/>
      <name val="Arial"/>
    </font>
    <font>
      <sz val="11"/>
      <color rgb="FF696969"/>
      <name val="Arial"/>
      <scheme val="minor"/>
    </font>
    <font>
      <u/>
      <sz val="10"/>
      <color rgb="FF0000FF"/>
      <name val="Arial"/>
    </font>
    <font>
      <sz val="9"/>
      <color theme="1"/>
      <name val="Arial"/>
      <scheme val="minor"/>
    </font>
    <font>
      <sz val="10"/>
      <color rgb="FFFFFFFF"/>
      <name val="Arial"/>
      <scheme val="minor"/>
    </font>
    <font>
      <sz val="10"/>
      <color rgb="FF000000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5F8FB"/>
        <bgColor rgb="FFF5F8FB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</fills>
  <borders count="5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999999"/>
      </right>
      <top/>
      <bottom style="medium">
        <color rgb="FF000000"/>
      </bottom>
      <diagonal/>
    </border>
    <border>
      <left style="thin">
        <color rgb="FF999999"/>
      </left>
      <right style="thin">
        <color rgb="FF999999"/>
      </right>
      <top/>
      <bottom style="medium">
        <color rgb="FF000000"/>
      </bottom>
      <diagonal/>
    </border>
    <border>
      <left style="thin">
        <color rgb="FF999999"/>
      </left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 style="medium">
        <color rgb="FF999999"/>
      </right>
      <top/>
      <bottom style="medium">
        <color rgb="FF000000"/>
      </bottom>
      <diagonal/>
    </border>
    <border>
      <left style="thin">
        <color rgb="FF999999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medium">
        <color rgb="FF000000"/>
      </right>
      <top/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medium">
        <color rgb="FF000000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000000"/>
      </right>
      <top style="thin">
        <color rgb="FF999999"/>
      </top>
      <bottom style="thin">
        <color rgb="FF999999"/>
      </bottom>
      <diagonal/>
    </border>
    <border>
      <left/>
      <right style="medium">
        <color rgb="FF000000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medium">
        <color rgb="FF000000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medium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medium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 style="thin">
        <color rgb="FF999999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B7B7B7"/>
      </right>
      <top/>
      <bottom style="thin">
        <color rgb="FF000000"/>
      </bottom>
      <diagonal/>
    </border>
    <border>
      <left style="thin">
        <color rgb="FFB7B7B7"/>
      </left>
      <right style="thin">
        <color rgb="FFB7B7B7"/>
      </right>
      <top/>
      <bottom style="thin">
        <color rgb="FF000000"/>
      </bottom>
      <diagonal/>
    </border>
    <border>
      <left style="thin">
        <color rgb="FFB7B7B7"/>
      </left>
      <right/>
      <top/>
      <bottom style="thin">
        <color rgb="FF000000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EAEAEA"/>
      </top>
      <bottom style="thin">
        <color rgb="FFEAEAEA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2" fillId="0" borderId="2" xfId="0" applyFont="1" applyBorder="1"/>
    <xf numFmtId="0" fontId="3" fillId="0" borderId="2" xfId="0" applyFont="1" applyBorder="1"/>
    <xf numFmtId="164" fontId="2" fillId="0" borderId="2" xfId="0" applyNumberFormat="1" applyFont="1" applyBorder="1"/>
    <xf numFmtId="164" fontId="2" fillId="0" borderId="0" xfId="0" applyNumberFormat="1" applyFont="1"/>
    <xf numFmtId="164" fontId="3" fillId="0" borderId="2" xfId="0" applyNumberFormat="1" applyFont="1" applyBorder="1"/>
    <xf numFmtId="164" fontId="2" fillId="0" borderId="3" xfId="0" applyNumberFormat="1" applyFont="1" applyBorder="1"/>
    <xf numFmtId="0" fontId="4" fillId="0" borderId="2" xfId="0" applyFont="1" applyBorder="1"/>
    <xf numFmtId="164" fontId="3" fillId="0" borderId="3" xfId="0" applyNumberFormat="1" applyFont="1" applyBorder="1"/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164" fontId="3" fillId="0" borderId="0" xfId="0" applyNumberFormat="1" applyFont="1" applyAlignment="1">
      <alignment horizontal="center" vertical="center"/>
    </xf>
    <xf numFmtId="164" fontId="5" fillId="0" borderId="0" xfId="0" applyNumberFormat="1" applyFont="1"/>
    <xf numFmtId="164" fontId="6" fillId="0" borderId="0" xfId="0" applyNumberFormat="1" applyFont="1"/>
    <xf numFmtId="0" fontId="4" fillId="0" borderId="0" xfId="0" applyFont="1"/>
    <xf numFmtId="164" fontId="1" fillId="0" borderId="0" xfId="0" applyNumberFormat="1" applyFont="1" applyAlignment="1">
      <alignment horizontal="right"/>
    </xf>
    <xf numFmtId="0" fontId="7" fillId="2" borderId="1" xfId="0" applyFont="1" applyFill="1" applyBorder="1"/>
    <xf numFmtId="164" fontId="1" fillId="0" borderId="2" xfId="0" applyNumberFormat="1" applyFont="1" applyBorder="1" applyAlignment="1">
      <alignment horizontal="right"/>
    </xf>
    <xf numFmtId="0" fontId="8" fillId="0" borderId="0" xfId="0" applyFont="1"/>
    <xf numFmtId="164" fontId="9" fillId="0" borderId="0" xfId="0" applyNumberFormat="1" applyFont="1" applyAlignment="1">
      <alignment horizontal="right" vertical="top"/>
    </xf>
    <xf numFmtId="164" fontId="10" fillId="0" borderId="0" xfId="0" applyNumberFormat="1" applyFont="1" applyAlignment="1">
      <alignment horizontal="right" vertical="top"/>
    </xf>
    <xf numFmtId="0" fontId="11" fillId="3" borderId="0" xfId="0" applyFont="1" applyFill="1"/>
    <xf numFmtId="49" fontId="4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2" fillId="0" borderId="0" xfId="0" applyNumberFormat="1" applyFont="1"/>
    <xf numFmtId="3" fontId="3" fillId="0" borderId="0" xfId="0" applyNumberFormat="1" applyFont="1"/>
    <xf numFmtId="3" fontId="3" fillId="0" borderId="2" xfId="0" applyNumberFormat="1" applyFont="1" applyBorder="1"/>
    <xf numFmtId="0" fontId="7" fillId="0" borderId="0" xfId="0" applyFont="1"/>
    <xf numFmtId="3" fontId="1" fillId="0" borderId="0" xfId="0" applyNumberFormat="1" applyFont="1"/>
    <xf numFmtId="3" fontId="2" fillId="0" borderId="2" xfId="0" applyNumberFormat="1" applyFont="1" applyBorder="1"/>
    <xf numFmtId="3" fontId="3" fillId="0" borderId="1" xfId="0" applyNumberFormat="1" applyFont="1" applyBorder="1"/>
    <xf numFmtId="0" fontId="3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166" fontId="3" fillId="0" borderId="0" xfId="0" applyNumberFormat="1" applyFont="1"/>
    <xf numFmtId="0" fontId="2" fillId="4" borderId="2" xfId="0" applyFont="1" applyFill="1" applyBorder="1"/>
    <xf numFmtId="3" fontId="2" fillId="4" borderId="2" xfId="0" applyNumberFormat="1" applyFont="1" applyFill="1" applyBorder="1"/>
    <xf numFmtId="3" fontId="2" fillId="0" borderId="1" xfId="0" applyNumberFormat="1" applyFont="1" applyBorder="1"/>
    <xf numFmtId="0" fontId="2" fillId="0" borderId="3" xfId="0" applyFont="1" applyBorder="1"/>
    <xf numFmtId="0" fontId="2" fillId="4" borderId="3" xfId="0" applyFont="1" applyFill="1" applyBorder="1"/>
    <xf numFmtId="3" fontId="2" fillId="4" borderId="3" xfId="0" applyNumberFormat="1" applyFont="1" applyFill="1" applyBorder="1"/>
    <xf numFmtId="0" fontId="2" fillId="5" borderId="2" xfId="0" applyFont="1" applyFill="1" applyBorder="1"/>
    <xf numFmtId="3" fontId="2" fillId="5" borderId="2" xfId="0" applyNumberFormat="1" applyFont="1" applyFill="1" applyBorder="1"/>
    <xf numFmtId="165" fontId="3" fillId="0" borderId="0" xfId="0" applyNumberFormat="1" applyFont="1"/>
    <xf numFmtId="167" fontId="3" fillId="0" borderId="0" xfId="0" applyNumberFormat="1" applyFont="1" applyAlignment="1">
      <alignment horizontal="right"/>
    </xf>
    <xf numFmtId="165" fontId="2" fillId="0" borderId="0" xfId="0" applyNumberFormat="1" applyFont="1"/>
    <xf numFmtId="164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14" fillId="0" borderId="0" xfId="0" applyFont="1"/>
    <xf numFmtId="0" fontId="15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/>
    </xf>
    <xf numFmtId="3" fontId="16" fillId="0" borderId="11" xfId="0" applyNumberFormat="1" applyFont="1" applyBorder="1" applyAlignment="1">
      <alignment horizontal="right"/>
    </xf>
    <xf numFmtId="3" fontId="16" fillId="0" borderId="12" xfId="0" applyNumberFormat="1" applyFont="1" applyBorder="1" applyAlignment="1">
      <alignment horizontal="right"/>
    </xf>
    <xf numFmtId="3" fontId="16" fillId="0" borderId="13" xfId="0" applyNumberFormat="1" applyFont="1" applyBorder="1" applyAlignment="1">
      <alignment horizontal="right"/>
    </xf>
    <xf numFmtId="3" fontId="17" fillId="0" borderId="11" xfId="0" applyNumberFormat="1" applyFont="1" applyBorder="1" applyAlignment="1">
      <alignment horizontal="right"/>
    </xf>
    <xf numFmtId="9" fontId="18" fillId="0" borderId="14" xfId="0" applyNumberFormat="1" applyFont="1" applyBorder="1" applyAlignment="1">
      <alignment horizontal="right"/>
    </xf>
    <xf numFmtId="9" fontId="18" fillId="0" borderId="15" xfId="0" applyNumberFormat="1" applyFont="1" applyBorder="1" applyAlignment="1">
      <alignment horizontal="right"/>
    </xf>
    <xf numFmtId="9" fontId="3" fillId="0" borderId="0" xfId="0" applyNumberFormat="1" applyFont="1"/>
    <xf numFmtId="0" fontId="15" fillId="0" borderId="16" xfId="0" applyFont="1" applyBorder="1" applyAlignment="1">
      <alignment horizontal="center" wrapText="1"/>
    </xf>
    <xf numFmtId="3" fontId="16" fillId="0" borderId="17" xfId="0" applyNumberFormat="1" applyFont="1" applyBorder="1" applyAlignment="1">
      <alignment horizontal="right"/>
    </xf>
    <xf numFmtId="3" fontId="16" fillId="0" borderId="18" xfId="0" applyNumberFormat="1" applyFont="1" applyBorder="1" applyAlignment="1">
      <alignment horizontal="right"/>
    </xf>
    <xf numFmtId="3" fontId="16" fillId="0" borderId="19" xfId="0" applyNumberFormat="1" applyFont="1" applyBorder="1" applyAlignment="1">
      <alignment horizontal="right"/>
    </xf>
    <xf numFmtId="0" fontId="16" fillId="0" borderId="16" xfId="0" applyFont="1" applyBorder="1" applyAlignment="1">
      <alignment horizontal="center" wrapText="1"/>
    </xf>
    <xf numFmtId="0" fontId="16" fillId="0" borderId="16" xfId="0" applyFont="1" applyBorder="1" applyAlignment="1">
      <alignment horizontal="center"/>
    </xf>
    <xf numFmtId="0" fontId="16" fillId="0" borderId="20" xfId="0" applyFont="1" applyBorder="1" applyAlignment="1">
      <alignment horizontal="center" wrapText="1"/>
    </xf>
    <xf numFmtId="3" fontId="16" fillId="0" borderId="21" xfId="0" applyNumberFormat="1" applyFont="1" applyBorder="1" applyAlignment="1">
      <alignment horizontal="right"/>
    </xf>
    <xf numFmtId="3" fontId="16" fillId="0" borderId="22" xfId="0" applyNumberFormat="1" applyFont="1" applyBorder="1" applyAlignment="1">
      <alignment horizontal="right"/>
    </xf>
    <xf numFmtId="3" fontId="16" fillId="0" borderId="23" xfId="0" applyNumberFormat="1" applyFont="1" applyBorder="1" applyAlignment="1">
      <alignment horizontal="right"/>
    </xf>
    <xf numFmtId="3" fontId="17" fillId="0" borderId="24" xfId="0" applyNumberFormat="1" applyFont="1" applyBorder="1" applyAlignment="1">
      <alignment horizontal="right"/>
    </xf>
    <xf numFmtId="9" fontId="18" fillId="0" borderId="25" xfId="0" applyNumberFormat="1" applyFont="1" applyBorder="1" applyAlignment="1">
      <alignment horizontal="right"/>
    </xf>
    <xf numFmtId="9" fontId="18" fillId="0" borderId="26" xfId="0" applyNumberFormat="1" applyFont="1" applyBorder="1" applyAlignment="1">
      <alignment horizontal="right"/>
    </xf>
    <xf numFmtId="0" fontId="16" fillId="0" borderId="0" xfId="0" applyFont="1"/>
    <xf numFmtId="0" fontId="15" fillId="0" borderId="0" xfId="0" applyFont="1"/>
    <xf numFmtId="9" fontId="18" fillId="0" borderId="27" xfId="0" applyNumberFormat="1" applyFont="1" applyBorder="1" applyAlignment="1">
      <alignment horizontal="right"/>
    </xf>
    <xf numFmtId="9" fontId="18" fillId="0" borderId="28" xfId="0" applyNumberFormat="1" applyFont="1" applyBorder="1" applyAlignment="1">
      <alignment horizontal="right"/>
    </xf>
    <xf numFmtId="0" fontId="2" fillId="0" borderId="29" xfId="0" applyFont="1" applyBorder="1"/>
    <xf numFmtId="0" fontId="2" fillId="0" borderId="1" xfId="0" applyFont="1" applyBorder="1"/>
    <xf numFmtId="0" fontId="3" fillId="0" borderId="30" xfId="0" applyFont="1" applyBorder="1"/>
    <xf numFmtId="9" fontId="1" fillId="3" borderId="0" xfId="0" applyNumberFormat="1" applyFont="1" applyFill="1"/>
    <xf numFmtId="9" fontId="1" fillId="3" borderId="31" xfId="0" applyNumberFormat="1" applyFont="1" applyFill="1" applyBorder="1"/>
    <xf numFmtId="9" fontId="1" fillId="3" borderId="32" xfId="0" applyNumberFormat="1" applyFont="1" applyFill="1" applyBorder="1"/>
    <xf numFmtId="9" fontId="1" fillId="3" borderId="33" xfId="0" applyNumberFormat="1" applyFont="1" applyFill="1" applyBorder="1"/>
    <xf numFmtId="0" fontId="4" fillId="0" borderId="29" xfId="0" applyFont="1" applyBorder="1"/>
    <xf numFmtId="9" fontId="7" fillId="3" borderId="0" xfId="0" applyNumberFormat="1" applyFont="1" applyFill="1"/>
    <xf numFmtId="0" fontId="19" fillId="0" borderId="0" xfId="0" applyFont="1"/>
    <xf numFmtId="0" fontId="19" fillId="0" borderId="0" xfId="0" applyFont="1" applyAlignment="1">
      <alignment horizontal="right"/>
    </xf>
    <xf numFmtId="0" fontId="19" fillId="6" borderId="29" xfId="0" applyFont="1" applyFill="1" applyBorder="1"/>
    <xf numFmtId="0" fontId="19" fillId="6" borderId="34" xfId="0" applyFont="1" applyFill="1" applyBorder="1" applyAlignment="1">
      <alignment horizontal="center"/>
    </xf>
    <xf numFmtId="0" fontId="19" fillId="6" borderId="35" xfId="0" applyFont="1" applyFill="1" applyBorder="1" applyAlignment="1">
      <alignment horizontal="center"/>
    </xf>
    <xf numFmtId="0" fontId="19" fillId="6" borderId="36" xfId="0" applyFont="1" applyFill="1" applyBorder="1" applyAlignment="1">
      <alignment horizontal="center"/>
    </xf>
    <xf numFmtId="0" fontId="19" fillId="7" borderId="29" xfId="0" applyFont="1" applyFill="1" applyBorder="1"/>
    <xf numFmtId="0" fontId="19" fillId="7" borderId="34" xfId="0" applyFont="1" applyFill="1" applyBorder="1" applyAlignment="1">
      <alignment horizontal="center"/>
    </xf>
    <xf numFmtId="0" fontId="19" fillId="7" borderId="35" xfId="0" applyFont="1" applyFill="1" applyBorder="1" applyAlignment="1">
      <alignment horizontal="center"/>
    </xf>
    <xf numFmtId="0" fontId="19" fillId="7" borderId="36" xfId="0" applyFont="1" applyFill="1" applyBorder="1" applyAlignment="1">
      <alignment horizontal="center"/>
    </xf>
    <xf numFmtId="0" fontId="19" fillId="0" borderId="37" xfId="0" applyFont="1" applyBorder="1"/>
    <xf numFmtId="10" fontId="19" fillId="0" borderId="38" xfId="0" applyNumberFormat="1" applyFont="1" applyBorder="1" applyAlignment="1">
      <alignment horizontal="right"/>
    </xf>
    <xf numFmtId="10" fontId="16" fillId="0" borderId="38" xfId="0" applyNumberFormat="1" applyFont="1" applyBorder="1" applyAlignment="1">
      <alignment horizontal="right"/>
    </xf>
    <xf numFmtId="0" fontId="19" fillId="0" borderId="39" xfId="0" applyFont="1" applyBorder="1"/>
    <xf numFmtId="10" fontId="19" fillId="0" borderId="40" xfId="0" applyNumberFormat="1" applyFont="1" applyBorder="1" applyAlignment="1">
      <alignment horizontal="right"/>
    </xf>
    <xf numFmtId="10" fontId="19" fillId="0" borderId="41" xfId="0" applyNumberFormat="1" applyFont="1" applyBorder="1" applyAlignment="1">
      <alignment horizontal="right"/>
    </xf>
    <xf numFmtId="10" fontId="16" fillId="0" borderId="40" xfId="0" applyNumberFormat="1" applyFont="1" applyBorder="1" applyAlignment="1">
      <alignment horizontal="right"/>
    </xf>
    <xf numFmtId="10" fontId="16" fillId="0" borderId="41" xfId="0" applyNumberFormat="1" applyFont="1" applyBorder="1" applyAlignment="1">
      <alignment horizontal="right"/>
    </xf>
    <xf numFmtId="0" fontId="19" fillId="0" borderId="42" xfId="0" applyFont="1" applyBorder="1"/>
    <xf numFmtId="10" fontId="16" fillId="0" borderId="43" xfId="0" applyNumberFormat="1" applyFont="1" applyBorder="1" applyAlignment="1">
      <alignment horizontal="right"/>
    </xf>
    <xf numFmtId="164" fontId="16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3" fontId="16" fillId="0" borderId="0" xfId="0" applyNumberFormat="1" applyFont="1" applyAlignment="1">
      <alignment horizontal="right"/>
    </xf>
    <xf numFmtId="4" fontId="16" fillId="0" borderId="38" xfId="0" applyNumberFormat="1" applyFont="1" applyBorder="1" applyAlignment="1">
      <alignment horizontal="right"/>
    </xf>
    <xf numFmtId="4" fontId="16" fillId="0" borderId="40" xfId="0" applyNumberFormat="1" applyFont="1" applyBorder="1" applyAlignment="1">
      <alignment horizontal="right"/>
    </xf>
    <xf numFmtId="4" fontId="16" fillId="0" borderId="43" xfId="0" applyNumberFormat="1" applyFont="1" applyBorder="1" applyAlignment="1">
      <alignment horizontal="right"/>
    </xf>
    <xf numFmtId="2" fontId="3" fillId="0" borderId="0" xfId="0" applyNumberFormat="1" applyFont="1"/>
    <xf numFmtId="4" fontId="16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3" fontId="19" fillId="0" borderId="0" xfId="0" applyNumberFormat="1" applyFont="1" applyAlignment="1">
      <alignment horizontal="right"/>
    </xf>
    <xf numFmtId="0" fontId="26" fillId="0" borderId="0" xfId="0" applyFont="1"/>
    <xf numFmtId="0" fontId="2" fillId="8" borderId="44" xfId="0" applyFont="1" applyFill="1" applyBorder="1"/>
    <xf numFmtId="0" fontId="3" fillId="8" borderId="3" xfId="0" applyFont="1" applyFill="1" applyBorder="1"/>
    <xf numFmtId="0" fontId="3" fillId="8" borderId="45" xfId="0" applyFont="1" applyFill="1" applyBorder="1"/>
    <xf numFmtId="0" fontId="2" fillId="8" borderId="46" xfId="0" applyFont="1" applyFill="1" applyBorder="1"/>
    <xf numFmtId="0" fontId="3" fillId="8" borderId="0" xfId="0" applyFont="1" applyFill="1"/>
    <xf numFmtId="0" fontId="3" fillId="8" borderId="30" xfId="0" applyFont="1" applyFill="1" applyBorder="1"/>
    <xf numFmtId="0" fontId="27" fillId="0" borderId="0" xfId="0" applyFont="1"/>
    <xf numFmtId="0" fontId="2" fillId="9" borderId="46" xfId="0" applyFont="1" applyFill="1" applyBorder="1"/>
    <xf numFmtId="0" fontId="3" fillId="9" borderId="0" xfId="0" applyFont="1" applyFill="1"/>
    <xf numFmtId="0" fontId="3" fillId="9" borderId="30" xfId="0" applyFont="1" applyFill="1" applyBorder="1"/>
    <xf numFmtId="0" fontId="28" fillId="3" borderId="47" xfId="0" applyFont="1" applyFill="1" applyBorder="1" applyAlignment="1">
      <alignment horizontal="left"/>
    </xf>
    <xf numFmtId="10" fontId="28" fillId="3" borderId="47" xfId="0" applyNumberFormat="1" applyFont="1" applyFill="1" applyBorder="1" applyAlignment="1">
      <alignment horizontal="right"/>
    </xf>
    <xf numFmtId="0" fontId="28" fillId="10" borderId="47" xfId="0" applyFont="1" applyFill="1" applyBorder="1" applyAlignment="1">
      <alignment horizontal="left"/>
    </xf>
    <xf numFmtId="10" fontId="28" fillId="10" borderId="47" xfId="0" applyNumberFormat="1" applyFont="1" applyFill="1" applyBorder="1" applyAlignment="1">
      <alignment horizontal="right"/>
    </xf>
    <xf numFmtId="0" fontId="3" fillId="8" borderId="48" xfId="0" applyFont="1" applyFill="1" applyBorder="1"/>
    <xf numFmtId="0" fontId="3" fillId="8" borderId="1" xfId="0" applyFont="1" applyFill="1" applyBorder="1"/>
    <xf numFmtId="0" fontId="3" fillId="8" borderId="29" xfId="0" applyFont="1" applyFill="1" applyBorder="1"/>
    <xf numFmtId="0" fontId="2" fillId="2" borderId="0" xfId="0" applyFont="1" applyFill="1"/>
    <xf numFmtId="0" fontId="3" fillId="2" borderId="0" xfId="0" applyFont="1" applyFill="1"/>
    <xf numFmtId="0" fontId="2" fillId="6" borderId="0" xfId="0" applyFont="1" applyFill="1"/>
    <xf numFmtId="0" fontId="3" fillId="6" borderId="0" xfId="0" applyFont="1" applyFill="1"/>
    <xf numFmtId="0" fontId="2" fillId="11" borderId="49" xfId="0" applyFont="1" applyFill="1" applyBorder="1"/>
    <xf numFmtId="0" fontId="3" fillId="11" borderId="2" xfId="0" applyFont="1" applyFill="1" applyBorder="1"/>
    <xf numFmtId="0" fontId="29" fillId="11" borderId="2" xfId="0" applyFont="1" applyFill="1" applyBorder="1"/>
    <xf numFmtId="0" fontId="3" fillId="11" borderId="50" xfId="0" applyFont="1" applyFill="1" applyBorder="1"/>
    <xf numFmtId="0" fontId="3" fillId="0" borderId="1" xfId="0" applyFont="1" applyBorder="1" applyAlignment="1">
      <alignment horizontal="right"/>
    </xf>
    <xf numFmtId="0" fontId="30" fillId="0" borderId="0" xfId="0" applyFont="1" applyAlignment="1">
      <alignment horizontal="center"/>
    </xf>
    <xf numFmtId="167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10" fontId="31" fillId="12" borderId="0" xfId="0" applyNumberFormat="1" applyFont="1" applyFill="1"/>
    <xf numFmtId="10" fontId="32" fillId="13" borderId="0" xfId="0" applyNumberFormat="1" applyFont="1" applyFill="1"/>
    <xf numFmtId="167" fontId="1" fillId="11" borderId="2" xfId="0" applyNumberFormat="1" applyFont="1" applyFill="1" applyBorder="1" applyAlignment="1">
      <alignment horizontal="right"/>
    </xf>
    <xf numFmtId="10" fontId="1" fillId="11" borderId="2" xfId="0" applyNumberFormat="1" applyFont="1" applyFill="1" applyBorder="1" applyAlignment="1">
      <alignment horizontal="right"/>
    </xf>
    <xf numFmtId="10" fontId="3" fillId="13" borderId="0" xfId="0" applyNumberFormat="1" applyFont="1" applyFill="1"/>
    <xf numFmtId="0" fontId="3" fillId="3" borderId="0" xfId="0" applyFont="1" applyFill="1"/>
    <xf numFmtId="0" fontId="2" fillId="3" borderId="0" xfId="0" applyFont="1" applyFill="1"/>
    <xf numFmtId="167" fontId="1" fillId="3" borderId="0" xfId="0" applyNumberFormat="1" applyFont="1" applyFill="1" applyAlignment="1">
      <alignment horizontal="right"/>
    </xf>
    <xf numFmtId="10" fontId="1" fillId="3" borderId="0" xfId="0" applyNumberFormat="1" applyFont="1" applyFill="1" applyAlignment="1">
      <alignment horizontal="right"/>
    </xf>
    <xf numFmtId="164" fontId="3" fillId="3" borderId="0" xfId="0" applyNumberFormat="1" applyFont="1" applyFill="1"/>
    <xf numFmtId="0" fontId="2" fillId="0" borderId="44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10" fontId="3" fillId="0" borderId="0" xfId="0" applyNumberFormat="1" applyFont="1"/>
    <xf numFmtId="0" fontId="2" fillId="0" borderId="46" xfId="0" applyFont="1" applyBorder="1" applyAlignment="1">
      <alignment horizontal="center"/>
    </xf>
    <xf numFmtId="10" fontId="3" fillId="0" borderId="46" xfId="0" applyNumberFormat="1" applyFont="1" applyBorder="1"/>
    <xf numFmtId="10" fontId="32" fillId="13" borderId="30" xfId="0" applyNumberFormat="1" applyFont="1" applyFill="1" applyBorder="1"/>
    <xf numFmtId="10" fontId="31" fillId="12" borderId="30" xfId="0" applyNumberFormat="1" applyFont="1" applyFill="1" applyBorder="1"/>
    <xf numFmtId="0" fontId="2" fillId="0" borderId="48" xfId="0" applyFont="1" applyBorder="1" applyAlignment="1">
      <alignment horizontal="center"/>
    </xf>
    <xf numFmtId="10" fontId="3" fillId="0" borderId="48" xfId="0" applyNumberFormat="1" applyFont="1" applyBorder="1"/>
    <xf numFmtId="10" fontId="3" fillId="0" borderId="1" xfId="0" applyNumberFormat="1" applyFont="1" applyBorder="1"/>
    <xf numFmtId="10" fontId="32" fillId="13" borderId="1" xfId="0" applyNumberFormat="1" applyFont="1" applyFill="1" applyBorder="1"/>
    <xf numFmtId="10" fontId="31" fillId="12" borderId="29" xfId="0" applyNumberFormat="1" applyFont="1" applyFill="1" applyBorder="1"/>
    <xf numFmtId="0" fontId="32" fillId="3" borderId="0" xfId="0" applyFont="1" applyFill="1"/>
    <xf numFmtId="0" fontId="31" fillId="3" borderId="0" xfId="0" applyFont="1" applyFill="1"/>
    <xf numFmtId="10" fontId="32" fillId="3" borderId="0" xfId="0" applyNumberFormat="1" applyFont="1" applyFill="1"/>
    <xf numFmtId="4" fontId="1" fillId="0" borderId="0" xfId="0" applyNumberFormat="1" applyFont="1" applyAlignment="1">
      <alignment horizontal="right"/>
    </xf>
    <xf numFmtId="10" fontId="1" fillId="0" borderId="46" xfId="0" applyNumberFormat="1" applyFont="1" applyBorder="1" applyAlignment="1">
      <alignment horizontal="right"/>
    </xf>
    <xf numFmtId="10" fontId="1" fillId="0" borderId="48" xfId="0" applyNumberFormat="1" applyFont="1" applyBorder="1" applyAlignment="1">
      <alignment horizontal="right"/>
    </xf>
    <xf numFmtId="10" fontId="31" fillId="12" borderId="1" xfId="0" applyNumberFormat="1" applyFont="1" applyFill="1" applyBorder="1"/>
    <xf numFmtId="0" fontId="20" fillId="6" borderId="30" xfId="0" applyFont="1" applyFill="1" applyBorder="1" applyAlignment="1">
      <alignment horizontal="center" vertical="center" textRotation="90" wrapText="1"/>
    </xf>
    <xf numFmtId="0" fontId="21" fillId="0" borderId="30" xfId="0" applyFont="1" applyBorder="1"/>
    <xf numFmtId="0" fontId="22" fillId="6" borderId="30" xfId="0" applyFont="1" applyFill="1" applyBorder="1" applyAlignment="1">
      <alignment horizontal="center" vertical="center" textRotation="90" wrapText="1"/>
    </xf>
    <xf numFmtId="0" fontId="22" fillId="7" borderId="30" xfId="0" applyFont="1" applyFill="1" applyBorder="1" applyAlignment="1">
      <alignment horizontal="center" vertical="center" textRotation="90" wrapText="1"/>
    </xf>
    <xf numFmtId="0" fontId="19" fillId="0" borderId="0" xfId="0" applyFont="1"/>
    <xf numFmtId="0" fontId="0" fillId="0" borderId="0" xfId="0"/>
    <xf numFmtId="0" fontId="20" fillId="7" borderId="3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  <a:r>
              <a:rPr b="0">
                <a:solidFill>
                  <a:srgbClr val="000000"/>
                </a:solidFill>
                <a:latin typeface="Garamond"/>
              </a:rPr>
              <a:t>Italian Wine Brands ROE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9626-3B4F-88D4-90F55185AF68}"/>
              </c:ext>
            </c:extLst>
          </c:dPt>
          <c:cat>
            <c:numRef>
              <c:f>'10. Performance Ratios'!$B$22:$B$26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'10. Performance Ratios'!$F$22:$F$26</c:f>
              <c:numCache>
                <c:formatCode>0.00%</c:formatCode>
                <c:ptCount val="5"/>
                <c:pt idx="0">
                  <c:v>0.13578724535296705</c:v>
                </c:pt>
                <c:pt idx="1">
                  <c:v>9.0882635071242349E-2</c:v>
                </c:pt>
                <c:pt idx="2">
                  <c:v>5.8156486043321506E-2</c:v>
                </c:pt>
                <c:pt idx="3">
                  <c:v>7.7810080030549567E-2</c:v>
                </c:pt>
                <c:pt idx="4">
                  <c:v>9.859706541924329E-2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626-3B4F-88D4-90F55185AF68}"/>
            </c:ext>
          </c:extLst>
        </c:ser>
        <c:ser>
          <c:idx val="1"/>
          <c:order val="1"/>
          <c:invertIfNegative val="1"/>
          <c:cat>
            <c:numRef>
              <c:f>'10. Performance Ratios'!$B$22:$B$26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'10. Performance Ratios'!$F$22:$F$26</c:f>
              <c:numCache>
                <c:formatCode>0.00%</c:formatCode>
                <c:ptCount val="5"/>
                <c:pt idx="0">
                  <c:v>0.13578724535296705</c:v>
                </c:pt>
                <c:pt idx="1">
                  <c:v>9.0882635071242349E-2</c:v>
                </c:pt>
                <c:pt idx="2">
                  <c:v>5.8156486043321506E-2</c:v>
                </c:pt>
                <c:pt idx="3">
                  <c:v>7.7810080030549567E-2</c:v>
                </c:pt>
                <c:pt idx="4">
                  <c:v>9.859706541924329E-2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26-3B4F-88D4-90F55185A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6960066"/>
        <c:axId val="861998491"/>
      </c:barChart>
      <c:catAx>
        <c:axId val="1926960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1998491"/>
        <c:crosses val="autoZero"/>
        <c:auto val="1"/>
        <c:lblAlgn val="ctr"/>
        <c:lblOffset val="100"/>
        <c:noMultiLvlLbl val="1"/>
      </c:catAx>
      <c:valAx>
        <c:axId val="861998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696006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  <a:r>
              <a:rPr b="0">
                <a:solidFill>
                  <a:srgbClr val="000000"/>
                </a:solidFill>
                <a:latin typeface="Garamond"/>
              </a:rPr>
              <a:t>Masi Wines ROE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'10. Performance Ratios'!$H$22:$H$26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'10. Performance Ratios'!$L$22:$L$26</c:f>
              <c:numCache>
                <c:formatCode>0.00%</c:formatCode>
                <c:ptCount val="5"/>
                <c:pt idx="0">
                  <c:v>6.1784369652326679E-3</c:v>
                </c:pt>
                <c:pt idx="1">
                  <c:v>3.9843700659239652E-2</c:v>
                </c:pt>
                <c:pt idx="2">
                  <c:v>3.207707731774212E-2</c:v>
                </c:pt>
                <c:pt idx="3">
                  <c:v>4.8097726242228691E-3</c:v>
                </c:pt>
                <c:pt idx="4">
                  <c:v>-7.8835280174964599E-3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282-2142-B164-D975A3D3FB70}"/>
            </c:ext>
          </c:extLst>
        </c:ser>
        <c:ser>
          <c:idx val="1"/>
          <c:order val="1"/>
          <c:invertIfNegative val="1"/>
          <c:cat>
            <c:numRef>
              <c:f>'10. Performance Ratios'!$H$22:$H$26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'10. Performance Ratios'!$L$22:$L$26</c:f>
              <c:numCache>
                <c:formatCode>0.00%</c:formatCode>
                <c:ptCount val="5"/>
                <c:pt idx="0">
                  <c:v>6.1784369652326679E-3</c:v>
                </c:pt>
                <c:pt idx="1">
                  <c:v>3.9843700659239652E-2</c:v>
                </c:pt>
                <c:pt idx="2">
                  <c:v>3.207707731774212E-2</c:v>
                </c:pt>
                <c:pt idx="3">
                  <c:v>4.8097726242228691E-3</c:v>
                </c:pt>
                <c:pt idx="4">
                  <c:v>-7.8835280174964599E-3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82-2142-B164-D975A3D3F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2794584"/>
        <c:axId val="747758667"/>
      </c:barChart>
      <c:catAx>
        <c:axId val="332794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7758667"/>
        <c:crosses val="autoZero"/>
        <c:auto val="1"/>
        <c:lblAlgn val="ctr"/>
        <c:lblOffset val="100"/>
        <c:noMultiLvlLbl val="1"/>
      </c:catAx>
      <c:valAx>
        <c:axId val="7477586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27945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IWB vs Masi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'10. Performance Ratios'!$B$22:$B$26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'10. Performance Ratios'!$F$22:$F$26</c:f>
              <c:numCache>
                <c:formatCode>0.00%</c:formatCode>
                <c:ptCount val="5"/>
                <c:pt idx="0">
                  <c:v>0.13578724535296705</c:v>
                </c:pt>
                <c:pt idx="1">
                  <c:v>9.0882635071242349E-2</c:v>
                </c:pt>
                <c:pt idx="2">
                  <c:v>5.8156486043321506E-2</c:v>
                </c:pt>
                <c:pt idx="3">
                  <c:v>7.7810080030549567E-2</c:v>
                </c:pt>
                <c:pt idx="4">
                  <c:v>9.859706541924329E-2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FA7-7743-80D4-5B3AFC27F644}"/>
            </c:ext>
          </c:extLst>
        </c:ser>
        <c:ser>
          <c:idx val="1"/>
          <c:order val="1"/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'10. Performance Ratios'!$B$22:$B$26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'10. Performance Ratios'!$L$22:$L$26</c:f>
              <c:numCache>
                <c:formatCode>0.00%</c:formatCode>
                <c:ptCount val="5"/>
                <c:pt idx="0">
                  <c:v>6.1784369652326679E-3</c:v>
                </c:pt>
                <c:pt idx="1">
                  <c:v>3.9843700659239652E-2</c:v>
                </c:pt>
                <c:pt idx="2">
                  <c:v>3.207707731774212E-2</c:v>
                </c:pt>
                <c:pt idx="3">
                  <c:v>4.8097726242228691E-3</c:v>
                </c:pt>
                <c:pt idx="4">
                  <c:v>-7.8835280174964599E-3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FA7-7743-80D4-5B3AFC27F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5169222"/>
        <c:axId val="2119115354"/>
      </c:barChart>
      <c:catAx>
        <c:axId val="555169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9115354"/>
        <c:crosses val="autoZero"/>
        <c:auto val="1"/>
        <c:lblAlgn val="ctr"/>
        <c:lblOffset val="100"/>
        <c:noMultiLvlLbl val="1"/>
      </c:catAx>
      <c:valAx>
        <c:axId val="2119115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516922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ROE Beverage industry 2010-2019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'10. Performance Ratios'!$O$5</c:f>
              <c:strCache>
                <c:ptCount val="1"/>
                <c:pt idx="0">
                  <c:v>ROE Beverage 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'10. Performance Ratios'!$N$6:$N$15</c:f>
              <c:numCache>
                <c:formatCode>General</c:formatCode>
                <c:ptCount val="10"/>
                <c:pt idx="0">
                  <c:v>2019</c:v>
                </c:pt>
                <c:pt idx="1">
                  <c:v>2018</c:v>
                </c:pt>
                <c:pt idx="2">
                  <c:v>2017</c:v>
                </c:pt>
                <c:pt idx="3">
                  <c:v>2016</c:v>
                </c:pt>
                <c:pt idx="4">
                  <c:v>2015</c:v>
                </c:pt>
                <c:pt idx="5">
                  <c:v>2014</c:v>
                </c:pt>
                <c:pt idx="6">
                  <c:v>2013</c:v>
                </c:pt>
                <c:pt idx="7">
                  <c:v>2012</c:v>
                </c:pt>
                <c:pt idx="8">
                  <c:v>2011</c:v>
                </c:pt>
                <c:pt idx="9">
                  <c:v>2010</c:v>
                </c:pt>
              </c:numCache>
            </c:numRef>
          </c:cat>
          <c:val>
            <c:numRef>
              <c:f>'10. Performance Ratios'!$O$6:$O$15</c:f>
              <c:numCache>
                <c:formatCode>0.00%</c:formatCode>
                <c:ptCount val="10"/>
                <c:pt idx="0">
                  <c:v>0.10299999999999999</c:v>
                </c:pt>
                <c:pt idx="1">
                  <c:v>0.126</c:v>
                </c:pt>
                <c:pt idx="2">
                  <c:v>0.13500000000000001</c:v>
                </c:pt>
                <c:pt idx="3">
                  <c:v>0.123</c:v>
                </c:pt>
                <c:pt idx="4">
                  <c:v>9.9000000000000005E-2</c:v>
                </c:pt>
                <c:pt idx="5">
                  <c:v>9.6000000000000002E-2</c:v>
                </c:pt>
                <c:pt idx="6">
                  <c:v>9.1999999999999998E-2</c:v>
                </c:pt>
                <c:pt idx="7">
                  <c:v>8.2000000000000003E-2</c:v>
                </c:pt>
                <c:pt idx="8">
                  <c:v>8.3000000000000004E-2</c:v>
                </c:pt>
                <c:pt idx="9">
                  <c:v>7.0999999999999994E-2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870-8344-8629-148615897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0200431"/>
        <c:axId val="680375949"/>
      </c:barChart>
      <c:catAx>
        <c:axId val="1770200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0375949"/>
        <c:crosses val="autoZero"/>
        <c:auto val="1"/>
        <c:lblAlgn val="ctr"/>
        <c:lblOffset val="100"/>
        <c:noMultiLvlLbl val="1"/>
      </c:catAx>
      <c:valAx>
        <c:axId val="680375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02004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  <a:r>
              <a:rPr b="0">
                <a:solidFill>
                  <a:srgbClr val="000000"/>
                </a:solidFill>
                <a:latin typeface="Garamond"/>
              </a:rPr>
              <a:t>IWB Revenue, Assets and Asset Turnover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'10. Performance Ratios'!$C$42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'10. Performance Ratios'!$B$43:$B$47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xVal>
          <c:yVal>
            <c:numRef>
              <c:f>'10. Performance Ratios'!$C$43:$C$47</c:f>
              <c:numCache>
                <c:formatCode>#,##0;\(#,##0\)</c:formatCode>
                <c:ptCount val="5"/>
                <c:pt idx="0">
                  <c:v>210628923</c:v>
                </c:pt>
                <c:pt idx="1">
                  <c:v>329226074</c:v>
                </c:pt>
                <c:pt idx="2">
                  <c:v>396838417</c:v>
                </c:pt>
                <c:pt idx="3">
                  <c:v>413772484</c:v>
                </c:pt>
                <c:pt idx="4">
                  <c:v>391043255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F1-7549-A59C-6083C22A7ACA}"/>
            </c:ext>
          </c:extLst>
        </c:ser>
        <c:ser>
          <c:idx val="1"/>
          <c:order val="1"/>
          <c:tx>
            <c:strRef>
              <c:f>'10. Performance Ratios'!$E$42</c:f>
              <c:strCache>
                <c:ptCount val="1"/>
                <c:pt idx="0">
                  <c:v>Asset Turnover 1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'10. Performance Ratios'!$B$43:$B$47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xVal>
          <c:yVal>
            <c:numRef>
              <c:f>'10. Performance Ratios'!$E$43:$E$47</c:f>
              <c:numCache>
                <c:formatCode>#,##0.000;\(#,##0.000\)</c:formatCode>
                <c:ptCount val="5"/>
                <c:pt idx="0">
                  <c:v>0.94817881212372124</c:v>
                </c:pt>
                <c:pt idx="1">
                  <c:v>0.65694566123192411</c:v>
                </c:pt>
                <c:pt idx="2">
                  <c:v>0.70697743656940137</c:v>
                </c:pt>
                <c:pt idx="3">
                  <c:v>0.77044501798603215</c:v>
                </c:pt>
                <c:pt idx="4">
                  <c:v>0.78270444576748011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F1-7549-A59C-6083C22A7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529431"/>
        <c:axId val="1032057130"/>
      </c:scatterChart>
      <c:valAx>
        <c:axId val="20005294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2057130"/>
        <c:crosses val="autoZero"/>
        <c:crossBetween val="midCat"/>
      </c:valAx>
      <c:valAx>
        <c:axId val="1032057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;\(#,##0\)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052943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  <a:r>
              <a:rPr b="0">
                <a:solidFill>
                  <a:srgbClr val="000000"/>
                </a:solidFill>
                <a:latin typeface="Garamond"/>
              </a:rPr>
              <a:t>Masi Revenue, Assets and Asset Turnover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'10. Performance Ratios'!$I$42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'10. Performance Ratios'!$H$43:$H$47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'10. Performance Ratios'!$I$43:$I$47</c:f>
              <c:numCache>
                <c:formatCode>#,##0</c:formatCode>
                <c:ptCount val="5"/>
                <c:pt idx="0">
                  <c:v>51682390</c:v>
                </c:pt>
                <c:pt idx="1">
                  <c:v>66372422</c:v>
                </c:pt>
                <c:pt idx="2">
                  <c:v>74736807</c:v>
                </c:pt>
                <c:pt idx="3">
                  <c:v>66431396</c:v>
                </c:pt>
                <c:pt idx="4">
                  <c:v>66841283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428-9746-A03E-C5FEE7E7ED0F}"/>
            </c:ext>
          </c:extLst>
        </c:ser>
        <c:ser>
          <c:idx val="1"/>
          <c:order val="1"/>
          <c:tx>
            <c:strRef>
              <c:f>'10. Performance Ratios'!$J$42</c:f>
              <c:strCache>
                <c:ptCount val="1"/>
                <c:pt idx="0">
                  <c:v>Assets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'10. Performance Ratios'!$H$43:$H$47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'10. Performance Ratios'!$J$43:$J$47</c:f>
              <c:numCache>
                <c:formatCode>#,##0</c:formatCode>
                <c:ptCount val="5"/>
                <c:pt idx="0">
                  <c:v>180849122</c:v>
                </c:pt>
                <c:pt idx="1">
                  <c:v>202826047</c:v>
                </c:pt>
                <c:pt idx="2">
                  <c:v>211631611</c:v>
                </c:pt>
                <c:pt idx="3">
                  <c:v>209362698</c:v>
                </c:pt>
                <c:pt idx="4">
                  <c:v>207148324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428-9746-A03E-C5FEE7E7E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0101383"/>
        <c:axId val="137435673"/>
      </c:barChart>
      <c:catAx>
        <c:axId val="950101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435673"/>
        <c:crosses val="autoZero"/>
        <c:auto val="1"/>
        <c:lblAlgn val="ctr"/>
        <c:lblOffset val="100"/>
        <c:noMultiLvlLbl val="1"/>
      </c:catAx>
      <c:valAx>
        <c:axId val="137435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01013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IWB vs Masi Asset Turnover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'10. Performance Ratios'!$B$43:$B$47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'10. Performance Ratios'!$E$43:$E$47</c:f>
              <c:numCache>
                <c:formatCode>#,##0.000;\(#,##0.000\)</c:formatCode>
                <c:ptCount val="5"/>
                <c:pt idx="0">
                  <c:v>0.94817881212372124</c:v>
                </c:pt>
                <c:pt idx="1">
                  <c:v>0.65694566123192411</c:v>
                </c:pt>
                <c:pt idx="2">
                  <c:v>0.70697743656940137</c:v>
                </c:pt>
                <c:pt idx="3">
                  <c:v>0.77044501798603215</c:v>
                </c:pt>
                <c:pt idx="4">
                  <c:v>0.78270444576748011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8E-D849-9247-9052BD1E47B6}"/>
            </c:ext>
          </c:extLst>
        </c:ser>
        <c:ser>
          <c:idx val="1"/>
          <c:order val="1"/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'10. Performance Ratios'!$B$43:$B$47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'10. Performance Ratios'!$K$43:$K$47</c:f>
              <c:numCache>
                <c:formatCode>#,##0.000;\(#,##0.000\)</c:formatCode>
                <c:ptCount val="5"/>
                <c:pt idx="0">
                  <c:v>0.28577628372450709</c:v>
                </c:pt>
                <c:pt idx="1">
                  <c:v>0.32723815792751709</c:v>
                </c:pt>
                <c:pt idx="2">
                  <c:v>0.3531457642213951</c:v>
                </c:pt>
                <c:pt idx="3">
                  <c:v>0.31730292279668654</c:v>
                </c:pt>
                <c:pt idx="4">
                  <c:v>0.32267353995101594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38E-D849-9247-9052BD1E4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6253339"/>
        <c:axId val="441026623"/>
      </c:barChart>
      <c:catAx>
        <c:axId val="736253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1026623"/>
        <c:crosses val="autoZero"/>
        <c:auto val="1"/>
        <c:lblAlgn val="ctr"/>
        <c:lblOffset val="100"/>
        <c:noMultiLvlLbl val="1"/>
      </c:catAx>
      <c:valAx>
        <c:axId val="441026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Asset Turnover 1</a:t>
                </a:r>
              </a:p>
            </c:rich>
          </c:tx>
          <c:overlay val="0"/>
        </c:title>
        <c:numFmt formatCode="#,##0.000;\(#,##0.00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62533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IWB vs Masi Change In ROE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'10. Performance Ratios'!$M$75</c:f>
              <c:strCache>
                <c:ptCount val="1"/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'10. Performance Ratios'!$K$86:$K$89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'10. Performance Ratios'!$M$76:$M$79</c:f>
              <c:numCache>
                <c:formatCode>0.00%</c:formatCode>
                <c:ptCount val="4"/>
                <c:pt idx="0">
                  <c:v>-4.4904610281724697E-2</c:v>
                </c:pt>
                <c:pt idx="1">
                  <c:v>-3.2726149027920842E-2</c:v>
                </c:pt>
                <c:pt idx="2">
                  <c:v>1.965359398722806E-2</c:v>
                </c:pt>
                <c:pt idx="3">
                  <c:v>2.0786985388693724E-2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1-594A-8D5E-FBBC41D63D95}"/>
            </c:ext>
          </c:extLst>
        </c:ser>
        <c:ser>
          <c:idx val="1"/>
          <c:order val="1"/>
          <c:tx>
            <c:strRef>
              <c:f>'10. Performance Ratios'!$M$85</c:f>
              <c:strCache>
                <c:ptCount val="1"/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'10. Performance Ratios'!$K$86:$K$89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'10. Performance Ratios'!$M$86:$M$89</c:f>
              <c:numCache>
                <c:formatCode>0.00%</c:formatCode>
                <c:ptCount val="4"/>
                <c:pt idx="0">
                  <c:v>3.3665263694006985E-2</c:v>
                </c:pt>
                <c:pt idx="1">
                  <c:v>-7.7666233414975319E-3</c:v>
                </c:pt>
                <c:pt idx="2">
                  <c:v>-2.7267304693519252E-2</c:v>
                </c:pt>
                <c:pt idx="3">
                  <c:v>-1.2693300641719328E-2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91-594A-8D5E-FBBC41D63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094886"/>
        <c:axId val="1953498367"/>
      </c:areaChart>
      <c:catAx>
        <c:axId val="1418094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IWB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3498367"/>
        <c:crosses val="autoZero"/>
        <c:auto val="1"/>
        <c:lblAlgn val="ctr"/>
        <c:lblOffset val="100"/>
        <c:noMultiLvlLbl val="1"/>
      </c:catAx>
      <c:valAx>
        <c:axId val="1953498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809488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190500</xdr:colOff>
      <xdr:row>18</xdr:row>
      <xdr:rowOff>19050</xdr:rowOff>
    </xdr:from>
    <xdr:ext cx="3619500" cy="22383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266700</xdr:colOff>
      <xdr:row>18</xdr:row>
      <xdr:rowOff>19050</xdr:rowOff>
    </xdr:from>
    <xdr:ext cx="3667125" cy="22383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21</xdr:col>
      <xdr:colOff>228600</xdr:colOff>
      <xdr:row>18</xdr:row>
      <xdr:rowOff>19050</xdr:rowOff>
    </xdr:from>
    <xdr:ext cx="3933825" cy="225742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15</xdr:col>
      <xdr:colOff>428625</xdr:colOff>
      <xdr:row>4</xdr:row>
      <xdr:rowOff>171450</xdr:rowOff>
    </xdr:from>
    <xdr:ext cx="4752975" cy="233362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12</xdr:col>
      <xdr:colOff>266700</xdr:colOff>
      <xdr:row>39</xdr:row>
      <xdr:rowOff>76200</xdr:rowOff>
    </xdr:from>
    <xdr:ext cx="4600575" cy="225742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17</xdr:col>
      <xdr:colOff>419100</xdr:colOff>
      <xdr:row>39</xdr:row>
      <xdr:rowOff>76200</xdr:rowOff>
    </xdr:from>
    <xdr:ext cx="3667125" cy="225742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21</xdr:col>
      <xdr:colOff>600075</xdr:colOff>
      <xdr:row>39</xdr:row>
      <xdr:rowOff>76200</xdr:rowOff>
    </xdr:from>
    <xdr:ext cx="3667125" cy="2257425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10</xdr:col>
      <xdr:colOff>571500</xdr:colOff>
      <xdr:row>91</xdr:row>
      <xdr:rowOff>142875</xdr:rowOff>
    </xdr:from>
    <xdr:ext cx="4752975" cy="2952750"/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talianwinebrands.it/wp-content/uploads/2023/04/2022-12-31-IWB-Consolidatedseparate-annual-financial-report-signed.pdf" TargetMode="External"/><Relationship Id="rId2" Type="http://schemas.openxmlformats.org/officeDocument/2006/relationships/hyperlink" Target="https://www.italianwinebrands.it/wp-content/uploads/2022/04/IWB-Fascicolo-completo-esercizio-e-consolidato-31.12.21-inglese.pdf" TargetMode="External"/><Relationship Id="rId1" Type="http://schemas.openxmlformats.org/officeDocument/2006/relationships/hyperlink" Target="https://www.italianwinebrands.it/wp-content/uploads/2021/03/IWB-Fascicolo-completo-consolidato-31.12.20-inglese.pdf" TargetMode="External"/><Relationship Id="rId5" Type="http://schemas.openxmlformats.org/officeDocument/2006/relationships/hyperlink" Target="https://www.italianwinebrands.it/wp-content/uploads/2025/04/IWB-Fascicolo-completo-esercizio-e-consolidato-31.12.24-inglese-1.pdf" TargetMode="External"/><Relationship Id="rId4" Type="http://schemas.openxmlformats.org/officeDocument/2006/relationships/hyperlink" Target="https://www.italianwinebrands.it/wp-content/uploads/2024/04/2023-12-31-IWB-Consolidated-separate-annual-financial-report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edia.masi.it/media/media/50vbnsbw/bilancio_consolidato_esercizio_chiuso_al_31_dicembre_2022.pdf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media.masi.it/media/media/r12jfam1/bilancio_consolidato_al_31_dicembre_2021_0.pdf" TargetMode="External"/><Relationship Id="rId1" Type="http://schemas.openxmlformats.org/officeDocument/2006/relationships/hyperlink" Target="https://media.masi.it/media/media/krkeveaq/v2_bilancio_consolidato_31_12_2020.pdf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media.masi.it/media/media/zxbnlbqv/masi_bilancio_consolidato_2024.pdf" TargetMode="External"/><Relationship Id="rId4" Type="http://schemas.openxmlformats.org/officeDocument/2006/relationships/hyperlink" Target="https://media.masi.it/media/media/mytlvcec/masiagricola_bilancio_consolidato_311223.pdf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tista.com/statistics/1059568/roe-of-the-beverage-industry-in-italy/?srsltid=AfmBOoqZh5hJO8cZ4DODqqQnNC7lUZwYEnR7lF4sWquF5shKc8CzU61P" TargetMode="External"/><Relationship Id="rId2" Type="http://schemas.openxmlformats.org/officeDocument/2006/relationships/hyperlink" Target="https://www.statista.com/topics/4034/wine-market-in-europe/" TargetMode="External"/><Relationship Id="rId1" Type="http://schemas.openxmlformats.org/officeDocument/2006/relationships/hyperlink" Target="https://www.statista.com/statistics/1059568/roe-of-the-beverage-industry-in-italy/?srsltid=AfmBOoqZh5hJO8cZ4DODqqQnNC7lUZwYEnR7lF4sWquF5shKc8CzU61P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2"/>
  <sheetViews>
    <sheetView tabSelected="1" workbookViewId="0"/>
  </sheetViews>
  <sheetFormatPr baseColWidth="10" defaultColWidth="12.6640625" defaultRowHeight="15.75" customHeight="1" x14ac:dyDescent="0.15"/>
  <cols>
    <col min="1" max="1" width="6.33203125" customWidth="1"/>
    <col min="2" max="2" width="32.1640625" customWidth="1"/>
    <col min="3" max="3" width="6.33203125" customWidth="1"/>
  </cols>
  <sheetData>
    <row r="1" spans="1:8" ht="15.75" customHeight="1" x14ac:dyDescent="0.15">
      <c r="A1" s="1"/>
      <c r="B1" s="2" t="s">
        <v>0</v>
      </c>
      <c r="C1" s="3"/>
      <c r="D1" s="3"/>
      <c r="E1" s="3"/>
      <c r="F1" s="3"/>
      <c r="G1" s="3"/>
    </row>
    <row r="2" spans="1:8" ht="15.75" customHeight="1" x14ac:dyDescent="0.15">
      <c r="B2" s="4"/>
      <c r="C2" s="5"/>
      <c r="D2" s="5"/>
      <c r="E2" s="3"/>
      <c r="F2" s="3"/>
      <c r="G2" s="3"/>
    </row>
    <row r="3" spans="1:8" ht="15.75" customHeight="1" x14ac:dyDescent="0.15">
      <c r="B3" s="6" t="s">
        <v>1</v>
      </c>
      <c r="C3" s="6"/>
      <c r="D3" s="7">
        <v>2020</v>
      </c>
      <c r="E3" s="7">
        <v>2021</v>
      </c>
      <c r="F3" s="7">
        <v>2022</v>
      </c>
      <c r="G3" s="7">
        <v>2023</v>
      </c>
      <c r="H3" s="7">
        <v>2024</v>
      </c>
    </row>
    <row r="4" spans="1:8" ht="15.75" customHeight="1" x14ac:dyDescent="0.15">
      <c r="D4" s="3"/>
      <c r="E4" s="3"/>
      <c r="F4" s="3"/>
      <c r="G4" s="3"/>
      <c r="H4" s="3"/>
    </row>
    <row r="5" spans="1:8" ht="15.75" customHeight="1" x14ac:dyDescent="0.15">
      <c r="B5" s="4" t="s">
        <v>2</v>
      </c>
      <c r="D5" s="3">
        <v>204311431</v>
      </c>
      <c r="E5" s="3">
        <v>313226713</v>
      </c>
      <c r="F5" s="3">
        <v>390654334</v>
      </c>
      <c r="G5" s="3">
        <v>429127486</v>
      </c>
      <c r="H5" s="3">
        <v>401937029</v>
      </c>
    </row>
    <row r="6" spans="1:8" ht="15.75" customHeight="1" x14ac:dyDescent="0.15">
      <c r="B6" s="4" t="s">
        <v>3</v>
      </c>
      <c r="D6" s="3">
        <v>4779602</v>
      </c>
      <c r="E6" s="3">
        <v>13332751</v>
      </c>
      <c r="F6" s="3">
        <v>610153</v>
      </c>
      <c r="G6" s="3">
        <v>-19764596</v>
      </c>
      <c r="H6" s="3">
        <v>-14154988</v>
      </c>
    </row>
    <row r="7" spans="1:8" ht="15.75" customHeight="1" x14ac:dyDescent="0.15">
      <c r="B7" s="8" t="s">
        <v>4</v>
      </c>
      <c r="D7" s="3">
        <v>1537890</v>
      </c>
      <c r="E7" s="3">
        <v>2666610</v>
      </c>
      <c r="F7" s="3">
        <v>5573930</v>
      </c>
      <c r="G7" s="9">
        <v>4409594</v>
      </c>
      <c r="H7" s="9">
        <v>3261215</v>
      </c>
    </row>
    <row r="8" spans="1:8" ht="15.75" customHeight="1" x14ac:dyDescent="0.15">
      <c r="B8" s="10" t="s">
        <v>5</v>
      </c>
      <c r="C8" s="11"/>
      <c r="D8" s="12">
        <v>210628923</v>
      </c>
      <c r="E8" s="12">
        <f>SUM(E5:E7)</f>
        <v>329226074</v>
      </c>
      <c r="F8" s="12">
        <v>396838417</v>
      </c>
      <c r="G8" s="12">
        <v>413772484</v>
      </c>
      <c r="H8" s="12">
        <v>391043255</v>
      </c>
    </row>
    <row r="9" spans="1:8" ht="15.75" customHeight="1" x14ac:dyDescent="0.15">
      <c r="B9" s="4" t="s">
        <v>6</v>
      </c>
      <c r="D9" s="3">
        <v>-123650253</v>
      </c>
      <c r="E9" s="3">
        <v>-217704762</v>
      </c>
      <c r="F9" s="3">
        <v>-271789668</v>
      </c>
      <c r="G9" s="3">
        <v>-271847220</v>
      </c>
      <c r="H9" s="3">
        <v>-248332447</v>
      </c>
    </row>
    <row r="10" spans="1:8" ht="15.75" customHeight="1" x14ac:dyDescent="0.15">
      <c r="B10" s="4" t="s">
        <v>7</v>
      </c>
      <c r="D10" s="3">
        <v>-53325328</v>
      </c>
      <c r="E10" s="3">
        <v>-64208638</v>
      </c>
      <c r="F10" s="3">
        <v>-71413602</v>
      </c>
      <c r="G10" s="3">
        <v>-73661770</v>
      </c>
      <c r="H10" s="3">
        <v>-67224590</v>
      </c>
    </row>
    <row r="11" spans="1:8" ht="15.75" customHeight="1" x14ac:dyDescent="0.15">
      <c r="B11" s="4" t="s">
        <v>8</v>
      </c>
      <c r="D11" s="3">
        <v>-8685129</v>
      </c>
      <c r="E11" s="3">
        <v>-15289502</v>
      </c>
      <c r="F11" s="3">
        <v>-21783374</v>
      </c>
      <c r="G11" s="3">
        <v>-25653665</v>
      </c>
      <c r="H11" s="3">
        <v>-27408277</v>
      </c>
    </row>
    <row r="12" spans="1:8" ht="15.75" customHeight="1" x14ac:dyDescent="0.15">
      <c r="B12" s="8" t="s">
        <v>9</v>
      </c>
      <c r="D12" s="3">
        <v>-1365143</v>
      </c>
      <c r="E12" s="3">
        <v>-1013998</v>
      </c>
      <c r="F12" s="3">
        <v>-2116351</v>
      </c>
      <c r="G12" s="9">
        <v>-1647420</v>
      </c>
      <c r="H12" s="9">
        <v>-1457644</v>
      </c>
    </row>
    <row r="13" spans="1:8" ht="15.75" customHeight="1" x14ac:dyDescent="0.15">
      <c r="B13" s="10" t="s">
        <v>10</v>
      </c>
      <c r="C13" s="11"/>
      <c r="D13" s="12">
        <v>-187025853</v>
      </c>
      <c r="E13" s="12">
        <f>SUM(E9:E12)</f>
        <v>-298216900</v>
      </c>
      <c r="F13" s="12">
        <v>-367102995</v>
      </c>
      <c r="G13" s="12">
        <v>-372810074</v>
      </c>
      <c r="H13" s="12">
        <v>-344422958</v>
      </c>
    </row>
    <row r="14" spans="1:8" ht="15.75" customHeight="1" x14ac:dyDescent="0.15">
      <c r="B14" s="2" t="s">
        <v>11</v>
      </c>
      <c r="D14" s="3">
        <v>23603070</v>
      </c>
      <c r="E14" s="3">
        <f>E13+E8</f>
        <v>31009174</v>
      </c>
      <c r="F14" s="3">
        <v>29735423</v>
      </c>
      <c r="G14" s="13">
        <v>40962410</v>
      </c>
      <c r="H14" s="13">
        <v>46620297</v>
      </c>
    </row>
    <row r="15" spans="1:8" ht="15.75" customHeight="1" x14ac:dyDescent="0.15">
      <c r="B15" s="4" t="s">
        <v>12</v>
      </c>
      <c r="D15" s="3">
        <v>-3959744</v>
      </c>
      <c r="E15" s="3">
        <v>-6948102</v>
      </c>
      <c r="F15" s="3">
        <v>-9666058</v>
      </c>
      <c r="G15" s="3">
        <v>-11964772</v>
      </c>
      <c r="H15" s="3">
        <v>-9968066</v>
      </c>
    </row>
    <row r="16" spans="1:8" ht="15.75" customHeight="1" x14ac:dyDescent="0.15">
      <c r="B16" s="4" t="s">
        <v>13</v>
      </c>
      <c r="D16" s="5" t="s">
        <v>14</v>
      </c>
      <c r="E16" s="5" t="s">
        <v>14</v>
      </c>
      <c r="F16" s="3">
        <v>-53660</v>
      </c>
      <c r="G16" s="3">
        <v>-24441</v>
      </c>
      <c r="H16" s="5" t="s">
        <v>14</v>
      </c>
    </row>
    <row r="17" spans="2:8" ht="15.75" customHeight="1" x14ac:dyDescent="0.15">
      <c r="B17" s="8" t="s">
        <v>15</v>
      </c>
      <c r="D17" s="3">
        <v>-1425778</v>
      </c>
      <c r="E17" s="3">
        <v>-1152492</v>
      </c>
      <c r="F17" s="3">
        <v>-802986</v>
      </c>
      <c r="G17" s="9">
        <v>-1601476</v>
      </c>
      <c r="H17" s="9">
        <v>-857024</v>
      </c>
    </row>
    <row r="18" spans="2:8" ht="15.75" customHeight="1" x14ac:dyDescent="0.15">
      <c r="B18" s="10" t="s">
        <v>16</v>
      </c>
      <c r="C18" s="11"/>
      <c r="D18" s="12">
        <v>18217548</v>
      </c>
      <c r="E18" s="12">
        <v>22908580</v>
      </c>
      <c r="F18" s="12">
        <v>19212718</v>
      </c>
      <c r="G18" s="12">
        <v>27371721</v>
      </c>
      <c r="H18" s="12">
        <v>35795207</v>
      </c>
    </row>
    <row r="19" spans="2:8" ht="15.75" customHeight="1" x14ac:dyDescent="0.15">
      <c r="B19" s="4" t="s">
        <v>17</v>
      </c>
      <c r="D19" s="3">
        <v>215643</v>
      </c>
      <c r="E19" s="3">
        <v>591319</v>
      </c>
      <c r="F19" s="3">
        <v>1522120</v>
      </c>
      <c r="G19" s="3">
        <v>1489920</v>
      </c>
      <c r="H19" s="3">
        <v>1916655</v>
      </c>
    </row>
    <row r="20" spans="2:8" ht="15.75" customHeight="1" x14ac:dyDescent="0.15">
      <c r="B20" s="8" t="s">
        <v>18</v>
      </c>
      <c r="D20" s="3">
        <v>-1401691</v>
      </c>
      <c r="E20" s="3">
        <v>-4529499</v>
      </c>
      <c r="F20" s="3">
        <v>-7039704</v>
      </c>
      <c r="G20" s="9">
        <v>-9287567</v>
      </c>
      <c r="H20" s="9">
        <v>-6867976</v>
      </c>
    </row>
    <row r="21" spans="2:8" ht="15.75" customHeight="1" x14ac:dyDescent="0.15">
      <c r="B21" s="10" t="s">
        <v>19</v>
      </c>
      <c r="C21" s="11"/>
      <c r="D21" s="14">
        <v>-1186048</v>
      </c>
      <c r="E21" s="14">
        <v>-3938180</v>
      </c>
      <c r="F21" s="14">
        <v>-5517584</v>
      </c>
      <c r="G21" s="15">
        <v>-7797647</v>
      </c>
      <c r="H21" s="12">
        <v>-4951320</v>
      </c>
    </row>
    <row r="22" spans="2:8" ht="15.75" customHeight="1" x14ac:dyDescent="0.15">
      <c r="B22" s="16" t="s">
        <v>20</v>
      </c>
      <c r="C22" s="11"/>
      <c r="D22" s="14">
        <v>17031500</v>
      </c>
      <c r="E22" s="14">
        <v>18970400</v>
      </c>
      <c r="F22" s="14">
        <v>13695134</v>
      </c>
      <c r="G22" s="12">
        <v>19574074</v>
      </c>
      <c r="H22" s="12">
        <v>30843886</v>
      </c>
    </row>
    <row r="23" spans="2:8" ht="15.75" customHeight="1" x14ac:dyDescent="0.15">
      <c r="B23" s="11" t="s">
        <v>21</v>
      </c>
      <c r="C23" s="11"/>
      <c r="D23" s="17">
        <v>-2838948</v>
      </c>
      <c r="E23" s="17">
        <v>-4433324</v>
      </c>
      <c r="F23" s="17">
        <v>-2661939</v>
      </c>
      <c r="G23" s="9">
        <v>-3116150</v>
      </c>
      <c r="H23" s="14">
        <v>-8237085</v>
      </c>
    </row>
    <row r="24" spans="2:8" ht="15.75" customHeight="1" x14ac:dyDescent="0.15">
      <c r="B24" s="8" t="s">
        <v>22</v>
      </c>
      <c r="C24" s="11"/>
      <c r="D24" s="18" t="s">
        <v>14</v>
      </c>
      <c r="E24" s="19" t="s">
        <v>14</v>
      </c>
      <c r="F24" s="18" t="s">
        <v>14</v>
      </c>
      <c r="G24" s="20" t="s">
        <v>14</v>
      </c>
      <c r="H24" s="20" t="s">
        <v>14</v>
      </c>
    </row>
    <row r="25" spans="2:8" ht="15.75" customHeight="1" x14ac:dyDescent="0.15">
      <c r="B25" s="10" t="s">
        <v>23</v>
      </c>
      <c r="C25" s="11"/>
      <c r="D25" s="14">
        <v>14192552</v>
      </c>
      <c r="E25" s="14">
        <v>14537076</v>
      </c>
      <c r="F25" s="14">
        <v>11033196</v>
      </c>
      <c r="G25" s="12">
        <v>16457924</v>
      </c>
      <c r="H25" s="12">
        <v>22606801</v>
      </c>
    </row>
    <row r="26" spans="2:8" ht="15.75" customHeight="1" x14ac:dyDescent="0.15">
      <c r="B26" s="2" t="s">
        <v>24</v>
      </c>
      <c r="D26" s="3"/>
      <c r="E26" s="3"/>
      <c r="F26" s="3"/>
      <c r="G26" s="3"/>
      <c r="H26" s="3"/>
    </row>
    <row r="27" spans="2:8" ht="15.75" customHeight="1" x14ac:dyDescent="0.15">
      <c r="B27" s="4" t="s">
        <v>25</v>
      </c>
      <c r="D27" s="5" t="s">
        <v>14</v>
      </c>
      <c r="E27" s="5" t="s">
        <v>14</v>
      </c>
      <c r="F27" s="3">
        <v>209303</v>
      </c>
      <c r="G27" s="3">
        <v>-157461</v>
      </c>
      <c r="H27" s="3">
        <v>-271176</v>
      </c>
    </row>
    <row r="28" spans="2:8" ht="15.75" customHeight="1" x14ac:dyDescent="0.15">
      <c r="B28" s="10" t="s">
        <v>26</v>
      </c>
      <c r="C28" s="11"/>
      <c r="D28" s="12">
        <v>14192552</v>
      </c>
      <c r="E28" s="12">
        <v>14537076</v>
      </c>
      <c r="F28" s="12">
        <v>11242499</v>
      </c>
      <c r="G28" s="12">
        <v>16300463</v>
      </c>
      <c r="H28" s="12">
        <v>22335624</v>
      </c>
    </row>
    <row r="29" spans="2:8" ht="15.75" customHeight="1" x14ac:dyDescent="0.15">
      <c r="B29" s="2" t="s">
        <v>27</v>
      </c>
      <c r="D29" s="3"/>
      <c r="E29" s="3"/>
      <c r="F29" s="3"/>
      <c r="G29" s="3"/>
      <c r="H29" s="3"/>
    </row>
    <row r="30" spans="2:8" ht="15.75" customHeight="1" x14ac:dyDescent="0.15">
      <c r="B30" s="21" t="s">
        <v>28</v>
      </c>
      <c r="D30" s="22" t="s">
        <v>14</v>
      </c>
      <c r="E30" s="22" t="s">
        <v>14</v>
      </c>
      <c r="F30" s="3">
        <v>17915</v>
      </c>
      <c r="G30" s="3">
        <v>251734</v>
      </c>
      <c r="H30" s="3">
        <v>-179914</v>
      </c>
    </row>
    <row r="31" spans="2:8" ht="15.75" customHeight="1" x14ac:dyDescent="0.15">
      <c r="B31" s="21" t="s">
        <v>29</v>
      </c>
      <c r="D31" s="22"/>
      <c r="E31" s="22"/>
      <c r="F31" s="22"/>
      <c r="G31" s="22"/>
      <c r="H31" s="22"/>
    </row>
    <row r="32" spans="2:8" ht="15.75" customHeight="1" x14ac:dyDescent="0.15">
      <c r="B32" s="4" t="s">
        <v>30</v>
      </c>
      <c r="D32" s="3">
        <v>-5565</v>
      </c>
      <c r="E32" s="3">
        <v>-10856</v>
      </c>
      <c r="F32" s="3">
        <v>54974</v>
      </c>
      <c r="G32" s="3">
        <v>-41103</v>
      </c>
      <c r="H32" s="3">
        <v>94720</v>
      </c>
    </row>
    <row r="33" spans="2:8" ht="15.75" customHeight="1" x14ac:dyDescent="0.15">
      <c r="B33" s="8" t="s">
        <v>31</v>
      </c>
      <c r="D33" s="5" t="s">
        <v>14</v>
      </c>
      <c r="E33" s="5" t="s">
        <v>14</v>
      </c>
      <c r="F33" s="5" t="s">
        <v>14</v>
      </c>
      <c r="G33" s="20" t="s">
        <v>14</v>
      </c>
      <c r="H33" s="20" t="s">
        <v>14</v>
      </c>
    </row>
    <row r="34" spans="2:8" ht="15.75" customHeight="1" x14ac:dyDescent="0.15">
      <c r="B34" s="10" t="s">
        <v>32</v>
      </c>
      <c r="C34" s="11"/>
      <c r="D34" s="12">
        <v>-5565</v>
      </c>
      <c r="E34" s="12">
        <v>-10856</v>
      </c>
      <c r="F34" s="12">
        <v>72889</v>
      </c>
      <c r="G34" s="12">
        <v>210632</v>
      </c>
      <c r="H34" s="12">
        <v>-85195</v>
      </c>
    </row>
    <row r="35" spans="2:8" ht="15.75" customHeight="1" x14ac:dyDescent="0.15">
      <c r="B35" s="10" t="s">
        <v>33</v>
      </c>
      <c r="C35" s="11"/>
      <c r="D35" s="12">
        <v>14186987</v>
      </c>
      <c r="E35" s="12">
        <v>14526220</v>
      </c>
      <c r="F35" s="12">
        <v>11106085</v>
      </c>
      <c r="G35" s="12">
        <v>16668555</v>
      </c>
      <c r="H35" s="12">
        <v>22521606</v>
      </c>
    </row>
    <row r="36" spans="2:8" ht="15.75" customHeight="1" x14ac:dyDescent="0.15">
      <c r="C36" s="3"/>
      <c r="D36" s="3"/>
      <c r="E36" s="3"/>
      <c r="F36" s="3"/>
      <c r="G36" s="3"/>
    </row>
    <row r="37" spans="2:8" ht="15.75" customHeight="1" x14ac:dyDescent="0.15">
      <c r="C37" s="3"/>
      <c r="D37" s="3"/>
      <c r="E37" s="3"/>
      <c r="F37" s="3"/>
      <c r="G37" s="3"/>
    </row>
    <row r="39" spans="2:8" ht="15.75" customHeight="1" x14ac:dyDescent="0.15">
      <c r="C39" s="3"/>
      <c r="D39" s="23" t="s">
        <v>34</v>
      </c>
      <c r="E39" s="23" t="s">
        <v>35</v>
      </c>
      <c r="F39" s="23" t="s">
        <v>36</v>
      </c>
      <c r="G39" s="23" t="s">
        <v>37</v>
      </c>
      <c r="H39" s="24" t="s">
        <v>38</v>
      </c>
    </row>
    <row r="41" spans="2:8" ht="15.75" customHeight="1" x14ac:dyDescent="0.15">
      <c r="C41" s="3"/>
      <c r="D41" s="3"/>
      <c r="E41" s="3"/>
      <c r="F41" s="3"/>
      <c r="G41" s="3"/>
    </row>
    <row r="42" spans="2:8" ht="15.75" customHeight="1" x14ac:dyDescent="0.15">
      <c r="C42" s="3"/>
      <c r="D42" s="3"/>
      <c r="E42" s="3"/>
      <c r="F42" s="3"/>
      <c r="G42" s="3"/>
    </row>
    <row r="43" spans="2:8" ht="15.75" customHeight="1" x14ac:dyDescent="0.15">
      <c r="C43" s="3"/>
      <c r="D43" s="3"/>
      <c r="E43" s="3"/>
      <c r="F43" s="3"/>
      <c r="G43" s="3"/>
    </row>
    <row r="44" spans="2:8" ht="15.75" customHeight="1" x14ac:dyDescent="0.15">
      <c r="C44" s="3"/>
      <c r="D44" s="3"/>
      <c r="E44" s="3"/>
      <c r="F44" s="3"/>
      <c r="G44" s="3"/>
    </row>
    <row r="45" spans="2:8" ht="15.75" customHeight="1" x14ac:dyDescent="0.15">
      <c r="C45" s="3"/>
      <c r="D45" s="3"/>
      <c r="E45" s="3"/>
      <c r="F45" s="3"/>
      <c r="G45" s="3"/>
    </row>
    <row r="46" spans="2:8" ht="15.75" customHeight="1" x14ac:dyDescent="0.15">
      <c r="C46" s="3"/>
      <c r="D46" s="3"/>
      <c r="E46" s="3"/>
      <c r="F46" s="3"/>
      <c r="G46" s="3"/>
    </row>
    <row r="47" spans="2:8" ht="15.75" customHeight="1" x14ac:dyDescent="0.15">
      <c r="C47" s="3"/>
      <c r="D47" s="3"/>
      <c r="E47" s="3"/>
      <c r="F47" s="3"/>
      <c r="G47" s="3"/>
    </row>
    <row r="48" spans="2:8" ht="15.75" customHeight="1" x14ac:dyDescent="0.15">
      <c r="C48" s="3"/>
      <c r="D48" s="3"/>
      <c r="E48" s="3"/>
      <c r="F48" s="3"/>
      <c r="G48" s="3"/>
    </row>
    <row r="49" spans="3:7" ht="15.75" customHeight="1" x14ac:dyDescent="0.15">
      <c r="C49" s="3"/>
      <c r="D49" s="3"/>
      <c r="E49" s="3"/>
      <c r="F49" s="3"/>
      <c r="G49" s="3"/>
    </row>
    <row r="50" spans="3:7" ht="15.75" customHeight="1" x14ac:dyDescent="0.15">
      <c r="C50" s="3"/>
      <c r="D50" s="3"/>
      <c r="E50" s="3"/>
      <c r="F50" s="3"/>
      <c r="G50" s="3"/>
    </row>
    <row r="51" spans="3:7" ht="13" x14ac:dyDescent="0.15">
      <c r="C51" s="3"/>
      <c r="D51" s="3"/>
      <c r="E51" s="3"/>
      <c r="F51" s="3"/>
      <c r="G51" s="3"/>
    </row>
    <row r="52" spans="3:7" ht="13" x14ac:dyDescent="0.15">
      <c r="C52" s="3"/>
      <c r="D52" s="3"/>
      <c r="E52" s="3"/>
      <c r="F52" s="3"/>
      <c r="G52" s="3"/>
    </row>
    <row r="53" spans="3:7" ht="13" x14ac:dyDescent="0.15">
      <c r="C53" s="3"/>
      <c r="D53" s="3"/>
      <c r="E53" s="3"/>
      <c r="F53" s="3"/>
      <c r="G53" s="3"/>
    </row>
    <row r="54" spans="3:7" ht="13" x14ac:dyDescent="0.15">
      <c r="C54" s="3"/>
      <c r="D54" s="3"/>
      <c r="E54" s="3"/>
      <c r="F54" s="3"/>
      <c r="G54" s="3"/>
    </row>
    <row r="55" spans="3:7" ht="13" x14ac:dyDescent="0.15">
      <c r="C55" s="3"/>
      <c r="D55" s="3"/>
      <c r="E55" s="3"/>
      <c r="F55" s="3"/>
      <c r="G55" s="3"/>
    </row>
    <row r="56" spans="3:7" ht="13" x14ac:dyDescent="0.15">
      <c r="C56" s="3"/>
      <c r="D56" s="3"/>
      <c r="E56" s="3"/>
      <c r="F56" s="3"/>
      <c r="G56" s="3"/>
    </row>
    <row r="57" spans="3:7" ht="13" x14ac:dyDescent="0.15">
      <c r="C57" s="3"/>
      <c r="D57" s="3"/>
      <c r="E57" s="3"/>
      <c r="F57" s="3"/>
      <c r="G57" s="3"/>
    </row>
    <row r="58" spans="3:7" ht="13" x14ac:dyDescent="0.15">
      <c r="C58" s="3"/>
      <c r="D58" s="3"/>
      <c r="E58" s="3"/>
      <c r="F58" s="3"/>
      <c r="G58" s="3"/>
    </row>
    <row r="59" spans="3:7" ht="13" x14ac:dyDescent="0.15">
      <c r="C59" s="3"/>
      <c r="D59" s="3"/>
      <c r="E59" s="3"/>
      <c r="F59" s="3"/>
      <c r="G59" s="3"/>
    </row>
    <row r="60" spans="3:7" ht="13" x14ac:dyDescent="0.15">
      <c r="C60" s="3"/>
      <c r="D60" s="3"/>
      <c r="E60" s="3"/>
      <c r="F60" s="3"/>
      <c r="G60" s="3"/>
    </row>
    <row r="61" spans="3:7" ht="13" x14ac:dyDescent="0.15">
      <c r="C61" s="3"/>
      <c r="D61" s="3"/>
      <c r="E61" s="3"/>
      <c r="F61" s="3"/>
      <c r="G61" s="3"/>
    </row>
    <row r="62" spans="3:7" ht="13" x14ac:dyDescent="0.15">
      <c r="C62" s="3"/>
      <c r="D62" s="3"/>
      <c r="E62" s="3"/>
      <c r="F62" s="3"/>
      <c r="G62" s="3"/>
    </row>
    <row r="63" spans="3:7" ht="13" x14ac:dyDescent="0.15">
      <c r="C63" s="3"/>
      <c r="D63" s="3"/>
      <c r="E63" s="3"/>
      <c r="F63" s="3"/>
      <c r="G63" s="3"/>
    </row>
    <row r="64" spans="3:7" ht="13" x14ac:dyDescent="0.15">
      <c r="C64" s="3"/>
      <c r="D64" s="3"/>
      <c r="E64" s="3"/>
      <c r="F64" s="3"/>
      <c r="G64" s="3"/>
    </row>
    <row r="65" spans="3:7" ht="13" x14ac:dyDescent="0.15">
      <c r="C65" s="3"/>
      <c r="D65" s="3"/>
      <c r="E65" s="3"/>
      <c r="F65" s="3"/>
      <c r="G65" s="3"/>
    </row>
    <row r="66" spans="3:7" ht="13" x14ac:dyDescent="0.15">
      <c r="C66" s="3"/>
      <c r="D66" s="3"/>
      <c r="E66" s="3"/>
      <c r="F66" s="3"/>
      <c r="G66" s="3"/>
    </row>
    <row r="67" spans="3:7" ht="13" x14ac:dyDescent="0.15">
      <c r="C67" s="3"/>
      <c r="D67" s="3"/>
      <c r="E67" s="3"/>
      <c r="F67" s="3"/>
      <c r="G67" s="3"/>
    </row>
    <row r="68" spans="3:7" ht="13" x14ac:dyDescent="0.15">
      <c r="C68" s="3"/>
      <c r="D68" s="3"/>
      <c r="E68" s="3"/>
      <c r="F68" s="3"/>
      <c r="G68" s="3"/>
    </row>
    <row r="69" spans="3:7" ht="13" x14ac:dyDescent="0.15">
      <c r="C69" s="3"/>
      <c r="D69" s="3"/>
      <c r="E69" s="3"/>
      <c r="F69" s="3"/>
      <c r="G69" s="3"/>
    </row>
    <row r="70" spans="3:7" ht="13" x14ac:dyDescent="0.15">
      <c r="C70" s="3"/>
      <c r="D70" s="3"/>
      <c r="E70" s="3"/>
      <c r="F70" s="3"/>
      <c r="G70" s="3"/>
    </row>
    <row r="71" spans="3:7" ht="13" x14ac:dyDescent="0.15">
      <c r="C71" s="3"/>
      <c r="D71" s="3"/>
      <c r="E71" s="3"/>
      <c r="F71" s="3"/>
      <c r="G71" s="3"/>
    </row>
    <row r="72" spans="3:7" ht="13" x14ac:dyDescent="0.15">
      <c r="C72" s="3"/>
      <c r="D72" s="3"/>
      <c r="E72" s="3"/>
      <c r="F72" s="3"/>
      <c r="G72" s="3"/>
    </row>
    <row r="73" spans="3:7" ht="13" x14ac:dyDescent="0.15">
      <c r="C73" s="3"/>
      <c r="D73" s="3"/>
      <c r="E73" s="3"/>
      <c r="F73" s="3"/>
      <c r="G73" s="3"/>
    </row>
    <row r="74" spans="3:7" ht="13" x14ac:dyDescent="0.15">
      <c r="C74" s="3"/>
      <c r="D74" s="3"/>
      <c r="E74" s="3"/>
      <c r="F74" s="3"/>
      <c r="G74" s="3"/>
    </row>
    <row r="75" spans="3:7" ht="13" x14ac:dyDescent="0.15">
      <c r="C75" s="3"/>
      <c r="D75" s="3"/>
      <c r="E75" s="3"/>
      <c r="F75" s="3"/>
      <c r="G75" s="3"/>
    </row>
    <row r="76" spans="3:7" ht="13" x14ac:dyDescent="0.15">
      <c r="C76" s="3"/>
      <c r="D76" s="3"/>
      <c r="E76" s="3"/>
      <c r="F76" s="3"/>
      <c r="G76" s="3"/>
    </row>
    <row r="77" spans="3:7" ht="13" x14ac:dyDescent="0.15">
      <c r="C77" s="3"/>
      <c r="D77" s="3"/>
      <c r="E77" s="3"/>
      <c r="F77" s="3"/>
      <c r="G77" s="3"/>
    </row>
    <row r="78" spans="3:7" ht="13" x14ac:dyDescent="0.15">
      <c r="C78" s="3"/>
      <c r="D78" s="3"/>
      <c r="E78" s="3"/>
      <c r="F78" s="3"/>
      <c r="G78" s="3"/>
    </row>
    <row r="79" spans="3:7" ht="13" x14ac:dyDescent="0.15">
      <c r="C79" s="3"/>
      <c r="D79" s="3"/>
      <c r="E79" s="3"/>
      <c r="F79" s="3"/>
      <c r="G79" s="3"/>
    </row>
    <row r="80" spans="3:7" ht="13" x14ac:dyDescent="0.15">
      <c r="C80" s="3"/>
      <c r="D80" s="3"/>
      <c r="E80" s="3"/>
      <c r="F80" s="3"/>
      <c r="G80" s="3"/>
    </row>
    <row r="81" spans="3:7" ht="13" x14ac:dyDescent="0.15">
      <c r="C81" s="3"/>
      <c r="D81" s="3"/>
      <c r="E81" s="3"/>
      <c r="F81" s="3"/>
      <c r="G81" s="3"/>
    </row>
    <row r="82" spans="3:7" ht="13" x14ac:dyDescent="0.15">
      <c r="C82" s="3"/>
      <c r="D82" s="3"/>
      <c r="E82" s="3"/>
      <c r="F82" s="3"/>
      <c r="G82" s="3"/>
    </row>
    <row r="83" spans="3:7" ht="13" x14ac:dyDescent="0.15">
      <c r="C83" s="3"/>
      <c r="D83" s="3"/>
      <c r="E83" s="3"/>
      <c r="F83" s="3"/>
      <c r="G83" s="3"/>
    </row>
    <row r="84" spans="3:7" ht="13" x14ac:dyDescent="0.15">
      <c r="C84" s="3"/>
      <c r="D84" s="3"/>
      <c r="E84" s="3"/>
      <c r="F84" s="3"/>
      <c r="G84" s="3"/>
    </row>
    <row r="85" spans="3:7" ht="13" x14ac:dyDescent="0.15">
      <c r="C85" s="3"/>
      <c r="D85" s="3"/>
      <c r="E85" s="3"/>
      <c r="F85" s="3"/>
      <c r="G85" s="3"/>
    </row>
    <row r="86" spans="3:7" ht="13" x14ac:dyDescent="0.15">
      <c r="C86" s="3"/>
      <c r="D86" s="3"/>
      <c r="E86" s="3"/>
      <c r="F86" s="3"/>
      <c r="G86" s="3"/>
    </row>
    <row r="87" spans="3:7" ht="13" x14ac:dyDescent="0.15">
      <c r="C87" s="3"/>
      <c r="D87" s="3"/>
      <c r="E87" s="3"/>
      <c r="F87" s="3"/>
      <c r="G87" s="3"/>
    </row>
    <row r="88" spans="3:7" ht="13" x14ac:dyDescent="0.15">
      <c r="C88" s="3"/>
      <c r="D88" s="3"/>
      <c r="E88" s="3"/>
      <c r="F88" s="3"/>
      <c r="G88" s="3"/>
    </row>
    <row r="89" spans="3:7" ht="13" x14ac:dyDescent="0.15">
      <c r="C89" s="3"/>
      <c r="D89" s="3"/>
      <c r="E89" s="3"/>
      <c r="F89" s="3"/>
      <c r="G89" s="3"/>
    </row>
    <row r="90" spans="3:7" ht="13" x14ac:dyDescent="0.15">
      <c r="C90" s="3"/>
      <c r="D90" s="3"/>
      <c r="E90" s="3"/>
      <c r="F90" s="3"/>
      <c r="G90" s="3"/>
    </row>
    <row r="91" spans="3:7" ht="13" x14ac:dyDescent="0.15">
      <c r="C91" s="3"/>
      <c r="D91" s="3"/>
      <c r="E91" s="3"/>
      <c r="F91" s="3"/>
      <c r="G91" s="3"/>
    </row>
    <row r="92" spans="3:7" ht="13" x14ac:dyDescent="0.15">
      <c r="C92" s="3"/>
      <c r="D92" s="3"/>
      <c r="E92" s="3"/>
      <c r="F92" s="3"/>
      <c r="G92" s="3"/>
    </row>
    <row r="93" spans="3:7" ht="13" x14ac:dyDescent="0.15">
      <c r="C93" s="3"/>
      <c r="D93" s="3"/>
      <c r="E93" s="3"/>
      <c r="F93" s="3"/>
      <c r="G93" s="3"/>
    </row>
    <row r="94" spans="3:7" ht="13" x14ac:dyDescent="0.15">
      <c r="C94" s="3"/>
      <c r="D94" s="3"/>
      <c r="E94" s="3"/>
      <c r="F94" s="3"/>
      <c r="G94" s="3"/>
    </row>
    <row r="95" spans="3:7" ht="13" x14ac:dyDescent="0.15">
      <c r="C95" s="3"/>
      <c r="D95" s="3"/>
      <c r="E95" s="3"/>
      <c r="F95" s="3"/>
      <c r="G95" s="3"/>
    </row>
    <row r="96" spans="3:7" ht="13" x14ac:dyDescent="0.15">
      <c r="C96" s="3"/>
      <c r="D96" s="3"/>
      <c r="E96" s="3"/>
      <c r="F96" s="3"/>
      <c r="G96" s="3"/>
    </row>
    <row r="97" spans="3:7" ht="13" x14ac:dyDescent="0.15">
      <c r="C97" s="3"/>
      <c r="D97" s="3"/>
      <c r="E97" s="3"/>
      <c r="F97" s="3"/>
      <c r="G97" s="3"/>
    </row>
    <row r="98" spans="3:7" ht="13" x14ac:dyDescent="0.15">
      <c r="C98" s="3"/>
      <c r="D98" s="3"/>
      <c r="E98" s="3"/>
      <c r="F98" s="3"/>
      <c r="G98" s="3"/>
    </row>
    <row r="99" spans="3:7" ht="13" x14ac:dyDescent="0.15">
      <c r="C99" s="3"/>
      <c r="D99" s="3"/>
      <c r="E99" s="3"/>
      <c r="F99" s="3"/>
      <c r="G99" s="3"/>
    </row>
    <row r="100" spans="3:7" ht="13" x14ac:dyDescent="0.15">
      <c r="C100" s="3"/>
      <c r="D100" s="3"/>
      <c r="E100" s="3"/>
      <c r="F100" s="3"/>
      <c r="G100" s="3"/>
    </row>
    <row r="101" spans="3:7" ht="13" x14ac:dyDescent="0.15">
      <c r="C101" s="3"/>
      <c r="D101" s="3"/>
      <c r="E101" s="3"/>
      <c r="F101" s="3"/>
      <c r="G101" s="3"/>
    </row>
    <row r="102" spans="3:7" ht="13" x14ac:dyDescent="0.15">
      <c r="C102" s="3"/>
      <c r="D102" s="3"/>
      <c r="E102" s="3"/>
      <c r="F102" s="3"/>
      <c r="G102" s="3"/>
    </row>
    <row r="103" spans="3:7" ht="13" x14ac:dyDescent="0.15">
      <c r="C103" s="3"/>
      <c r="D103" s="3"/>
      <c r="E103" s="3"/>
      <c r="F103" s="3"/>
      <c r="G103" s="3"/>
    </row>
    <row r="104" spans="3:7" ht="13" x14ac:dyDescent="0.15">
      <c r="C104" s="3"/>
      <c r="D104" s="3"/>
      <c r="E104" s="3"/>
      <c r="F104" s="3"/>
      <c r="G104" s="3"/>
    </row>
    <row r="105" spans="3:7" ht="13" x14ac:dyDescent="0.15">
      <c r="C105" s="3"/>
      <c r="D105" s="3"/>
      <c r="E105" s="3"/>
      <c r="F105" s="3"/>
      <c r="G105" s="3"/>
    </row>
    <row r="106" spans="3:7" ht="13" x14ac:dyDescent="0.15">
      <c r="C106" s="3"/>
      <c r="D106" s="3"/>
      <c r="E106" s="3"/>
      <c r="F106" s="3"/>
      <c r="G106" s="3"/>
    </row>
    <row r="107" spans="3:7" ht="13" x14ac:dyDescent="0.15">
      <c r="C107" s="3"/>
      <c r="D107" s="3"/>
      <c r="E107" s="3"/>
      <c r="F107" s="3"/>
      <c r="G107" s="3"/>
    </row>
    <row r="108" spans="3:7" ht="13" x14ac:dyDescent="0.15">
      <c r="C108" s="3"/>
      <c r="D108" s="3"/>
      <c r="E108" s="3"/>
      <c r="F108" s="3"/>
      <c r="G108" s="3"/>
    </row>
    <row r="109" spans="3:7" ht="13" x14ac:dyDescent="0.15">
      <c r="C109" s="3"/>
      <c r="D109" s="3"/>
      <c r="E109" s="3"/>
      <c r="F109" s="3"/>
      <c r="G109" s="3"/>
    </row>
    <row r="110" spans="3:7" ht="13" x14ac:dyDescent="0.15">
      <c r="C110" s="3"/>
      <c r="D110" s="3"/>
      <c r="E110" s="3"/>
      <c r="F110" s="3"/>
      <c r="G110" s="3"/>
    </row>
    <row r="111" spans="3:7" ht="13" x14ac:dyDescent="0.15">
      <c r="C111" s="3"/>
      <c r="D111" s="3"/>
      <c r="E111" s="3"/>
      <c r="F111" s="3"/>
      <c r="G111" s="3"/>
    </row>
    <row r="112" spans="3:7" ht="13" x14ac:dyDescent="0.15">
      <c r="C112" s="3"/>
      <c r="D112" s="3"/>
      <c r="E112" s="3"/>
      <c r="F112" s="3"/>
      <c r="G112" s="3"/>
    </row>
    <row r="113" spans="3:7" ht="13" x14ac:dyDescent="0.15">
      <c r="C113" s="3"/>
      <c r="D113" s="3"/>
      <c r="E113" s="3"/>
      <c r="F113" s="3"/>
      <c r="G113" s="3"/>
    </row>
    <row r="114" spans="3:7" ht="13" x14ac:dyDescent="0.15">
      <c r="C114" s="3"/>
      <c r="D114" s="3"/>
      <c r="E114" s="3"/>
      <c r="F114" s="3"/>
      <c r="G114" s="3"/>
    </row>
    <row r="115" spans="3:7" ht="13" x14ac:dyDescent="0.15">
      <c r="C115" s="3"/>
      <c r="D115" s="3"/>
      <c r="E115" s="3"/>
      <c r="F115" s="3"/>
      <c r="G115" s="3"/>
    </row>
    <row r="116" spans="3:7" ht="13" x14ac:dyDescent="0.15">
      <c r="C116" s="3"/>
      <c r="D116" s="3"/>
      <c r="E116" s="3"/>
      <c r="F116" s="3"/>
      <c r="G116" s="3"/>
    </row>
    <row r="117" spans="3:7" ht="13" x14ac:dyDescent="0.15">
      <c r="C117" s="3"/>
      <c r="D117" s="3"/>
      <c r="E117" s="3"/>
      <c r="F117" s="3"/>
      <c r="G117" s="3"/>
    </row>
    <row r="118" spans="3:7" ht="13" x14ac:dyDescent="0.15">
      <c r="C118" s="3"/>
      <c r="D118" s="3"/>
      <c r="E118" s="3"/>
      <c r="F118" s="3"/>
      <c r="G118" s="3"/>
    </row>
    <row r="119" spans="3:7" ht="13" x14ac:dyDescent="0.15">
      <c r="C119" s="3"/>
      <c r="D119" s="3"/>
      <c r="E119" s="3"/>
      <c r="F119" s="3"/>
      <c r="G119" s="3"/>
    </row>
    <row r="120" spans="3:7" ht="13" x14ac:dyDescent="0.15">
      <c r="C120" s="3"/>
      <c r="D120" s="3"/>
      <c r="E120" s="3"/>
      <c r="F120" s="3"/>
      <c r="G120" s="3"/>
    </row>
    <row r="121" spans="3:7" ht="13" x14ac:dyDescent="0.15">
      <c r="C121" s="3"/>
      <c r="D121" s="3"/>
      <c r="E121" s="3"/>
      <c r="F121" s="3"/>
      <c r="G121" s="3"/>
    </row>
    <row r="122" spans="3:7" ht="13" x14ac:dyDescent="0.15">
      <c r="C122" s="3"/>
      <c r="D122" s="3"/>
      <c r="E122" s="3"/>
      <c r="F122" s="3"/>
      <c r="G122" s="3"/>
    </row>
    <row r="123" spans="3:7" ht="13" x14ac:dyDescent="0.15">
      <c r="C123" s="3"/>
      <c r="D123" s="3"/>
      <c r="E123" s="3"/>
      <c r="F123" s="3"/>
      <c r="G123" s="3"/>
    </row>
    <row r="124" spans="3:7" ht="13" x14ac:dyDescent="0.15">
      <c r="C124" s="3"/>
      <c r="D124" s="3"/>
      <c r="E124" s="3"/>
      <c r="F124" s="3"/>
      <c r="G124" s="3"/>
    </row>
    <row r="125" spans="3:7" ht="13" x14ac:dyDescent="0.15">
      <c r="C125" s="3"/>
      <c r="D125" s="3"/>
      <c r="E125" s="3"/>
      <c r="F125" s="3"/>
      <c r="G125" s="3"/>
    </row>
    <row r="126" spans="3:7" ht="13" x14ac:dyDescent="0.15">
      <c r="C126" s="3"/>
      <c r="D126" s="3"/>
      <c r="E126" s="3"/>
      <c r="F126" s="3"/>
      <c r="G126" s="3"/>
    </row>
    <row r="127" spans="3:7" ht="13" x14ac:dyDescent="0.15">
      <c r="C127" s="3"/>
      <c r="D127" s="3"/>
      <c r="E127" s="3"/>
      <c r="F127" s="3"/>
      <c r="G127" s="3"/>
    </row>
    <row r="128" spans="3:7" ht="13" x14ac:dyDescent="0.15">
      <c r="C128" s="3"/>
      <c r="D128" s="3"/>
      <c r="E128" s="3"/>
      <c r="F128" s="3"/>
      <c r="G128" s="3"/>
    </row>
    <row r="129" spans="3:7" ht="13" x14ac:dyDescent="0.15">
      <c r="C129" s="3"/>
      <c r="D129" s="3"/>
      <c r="E129" s="3"/>
      <c r="F129" s="3"/>
      <c r="G129" s="3"/>
    </row>
    <row r="130" spans="3:7" ht="13" x14ac:dyDescent="0.15">
      <c r="C130" s="3"/>
      <c r="D130" s="3"/>
      <c r="E130" s="3"/>
      <c r="F130" s="3"/>
      <c r="G130" s="3"/>
    </row>
    <row r="131" spans="3:7" ht="13" x14ac:dyDescent="0.15">
      <c r="C131" s="3"/>
      <c r="D131" s="3"/>
      <c r="E131" s="3"/>
      <c r="F131" s="3"/>
      <c r="G131" s="3"/>
    </row>
    <row r="132" spans="3:7" ht="13" x14ac:dyDescent="0.15">
      <c r="C132" s="3"/>
      <c r="D132" s="3"/>
      <c r="E132" s="3"/>
      <c r="F132" s="3"/>
      <c r="G132" s="3"/>
    </row>
    <row r="133" spans="3:7" ht="13" x14ac:dyDescent="0.15">
      <c r="C133" s="3"/>
      <c r="D133" s="3"/>
      <c r="E133" s="3"/>
      <c r="F133" s="3"/>
      <c r="G133" s="3"/>
    </row>
    <row r="134" spans="3:7" ht="13" x14ac:dyDescent="0.15">
      <c r="C134" s="3"/>
      <c r="D134" s="3"/>
      <c r="E134" s="3"/>
      <c r="F134" s="3"/>
      <c r="G134" s="3"/>
    </row>
    <row r="135" spans="3:7" ht="13" x14ac:dyDescent="0.15">
      <c r="C135" s="3"/>
      <c r="D135" s="3"/>
      <c r="E135" s="3"/>
      <c r="F135" s="3"/>
      <c r="G135" s="3"/>
    </row>
    <row r="136" spans="3:7" ht="13" x14ac:dyDescent="0.15">
      <c r="C136" s="3"/>
      <c r="D136" s="3"/>
      <c r="E136" s="3"/>
      <c r="F136" s="3"/>
      <c r="G136" s="3"/>
    </row>
    <row r="137" spans="3:7" ht="13" x14ac:dyDescent="0.15">
      <c r="C137" s="3"/>
      <c r="D137" s="3"/>
      <c r="E137" s="3"/>
      <c r="F137" s="3"/>
      <c r="G137" s="3"/>
    </row>
    <row r="138" spans="3:7" ht="13" x14ac:dyDescent="0.15">
      <c r="C138" s="3"/>
      <c r="D138" s="3"/>
      <c r="E138" s="3"/>
      <c r="F138" s="3"/>
      <c r="G138" s="3"/>
    </row>
    <row r="139" spans="3:7" ht="13" x14ac:dyDescent="0.15">
      <c r="C139" s="3"/>
      <c r="D139" s="3"/>
      <c r="E139" s="3"/>
      <c r="F139" s="3"/>
      <c r="G139" s="3"/>
    </row>
    <row r="140" spans="3:7" ht="13" x14ac:dyDescent="0.15">
      <c r="C140" s="3"/>
      <c r="D140" s="3"/>
      <c r="E140" s="3"/>
      <c r="F140" s="3"/>
      <c r="G140" s="3"/>
    </row>
    <row r="141" spans="3:7" ht="13" x14ac:dyDescent="0.15">
      <c r="C141" s="3"/>
      <c r="D141" s="3"/>
      <c r="E141" s="3"/>
      <c r="F141" s="3"/>
      <c r="G141" s="3"/>
    </row>
    <row r="142" spans="3:7" ht="13" x14ac:dyDescent="0.15">
      <c r="C142" s="3"/>
      <c r="D142" s="3"/>
      <c r="E142" s="3"/>
      <c r="F142" s="3"/>
      <c r="G142" s="3"/>
    </row>
    <row r="143" spans="3:7" ht="13" x14ac:dyDescent="0.15">
      <c r="C143" s="3"/>
      <c r="D143" s="3"/>
      <c r="E143" s="3"/>
      <c r="F143" s="3"/>
      <c r="G143" s="3"/>
    </row>
    <row r="144" spans="3:7" ht="13" x14ac:dyDescent="0.15">
      <c r="C144" s="3"/>
      <c r="D144" s="3"/>
      <c r="E144" s="3"/>
      <c r="F144" s="3"/>
      <c r="G144" s="3"/>
    </row>
    <row r="145" spans="3:7" ht="13" x14ac:dyDescent="0.15">
      <c r="C145" s="3"/>
      <c r="D145" s="3"/>
      <c r="E145" s="3"/>
      <c r="F145" s="3"/>
      <c r="G145" s="3"/>
    </row>
    <row r="146" spans="3:7" ht="13" x14ac:dyDescent="0.15">
      <c r="C146" s="3"/>
      <c r="D146" s="3"/>
      <c r="E146" s="3"/>
      <c r="F146" s="3"/>
      <c r="G146" s="3"/>
    </row>
    <row r="147" spans="3:7" ht="13" x14ac:dyDescent="0.15">
      <c r="C147" s="3"/>
      <c r="D147" s="3"/>
      <c r="E147" s="3"/>
      <c r="F147" s="3"/>
      <c r="G147" s="3"/>
    </row>
    <row r="148" spans="3:7" ht="13" x14ac:dyDescent="0.15">
      <c r="C148" s="3"/>
      <c r="D148" s="3"/>
      <c r="E148" s="3"/>
      <c r="F148" s="3"/>
      <c r="G148" s="3"/>
    </row>
    <row r="149" spans="3:7" ht="13" x14ac:dyDescent="0.15">
      <c r="C149" s="3"/>
      <c r="D149" s="3"/>
      <c r="E149" s="3"/>
      <c r="F149" s="3"/>
      <c r="G149" s="3"/>
    </row>
    <row r="150" spans="3:7" ht="13" x14ac:dyDescent="0.15">
      <c r="C150" s="3"/>
      <c r="D150" s="3"/>
      <c r="E150" s="3"/>
      <c r="F150" s="3"/>
      <c r="G150" s="3"/>
    </row>
    <row r="151" spans="3:7" ht="13" x14ac:dyDescent="0.15">
      <c r="C151" s="3"/>
      <c r="D151" s="3"/>
      <c r="E151" s="3"/>
      <c r="F151" s="3"/>
      <c r="G151" s="3"/>
    </row>
    <row r="152" spans="3:7" ht="13" x14ac:dyDescent="0.15">
      <c r="C152" s="3"/>
      <c r="D152" s="3"/>
      <c r="E152" s="3"/>
      <c r="F152" s="3"/>
      <c r="G152" s="3"/>
    </row>
    <row r="153" spans="3:7" ht="13" x14ac:dyDescent="0.15">
      <c r="C153" s="3"/>
      <c r="D153" s="3"/>
      <c r="E153" s="3"/>
      <c r="F153" s="3"/>
      <c r="G153" s="3"/>
    </row>
    <row r="154" spans="3:7" ht="13" x14ac:dyDescent="0.15">
      <c r="C154" s="3"/>
      <c r="D154" s="3"/>
      <c r="E154" s="3"/>
      <c r="F154" s="3"/>
      <c r="G154" s="3"/>
    </row>
    <row r="155" spans="3:7" ht="13" x14ac:dyDescent="0.15">
      <c r="C155" s="3"/>
      <c r="D155" s="3"/>
      <c r="E155" s="3"/>
      <c r="F155" s="3"/>
      <c r="G155" s="3"/>
    </row>
    <row r="156" spans="3:7" ht="13" x14ac:dyDescent="0.15">
      <c r="C156" s="3"/>
      <c r="D156" s="3"/>
      <c r="E156" s="3"/>
      <c r="F156" s="3"/>
      <c r="G156" s="3"/>
    </row>
    <row r="157" spans="3:7" ht="13" x14ac:dyDescent="0.15">
      <c r="C157" s="3"/>
      <c r="D157" s="3"/>
      <c r="E157" s="3"/>
      <c r="F157" s="3"/>
      <c r="G157" s="3"/>
    </row>
    <row r="158" spans="3:7" ht="13" x14ac:dyDescent="0.15">
      <c r="C158" s="3"/>
      <c r="D158" s="3"/>
      <c r="E158" s="3"/>
      <c r="F158" s="3"/>
      <c r="G158" s="3"/>
    </row>
    <row r="159" spans="3:7" ht="13" x14ac:dyDescent="0.15">
      <c r="C159" s="3"/>
      <c r="D159" s="3"/>
      <c r="E159" s="3"/>
      <c r="F159" s="3"/>
      <c r="G159" s="3"/>
    </row>
    <row r="160" spans="3:7" ht="13" x14ac:dyDescent="0.15">
      <c r="C160" s="3"/>
      <c r="D160" s="3"/>
      <c r="E160" s="3"/>
      <c r="F160" s="3"/>
      <c r="G160" s="3"/>
    </row>
    <row r="161" spans="3:7" ht="13" x14ac:dyDescent="0.15">
      <c r="C161" s="3"/>
      <c r="D161" s="3"/>
      <c r="E161" s="3"/>
      <c r="F161" s="3"/>
      <c r="G161" s="3"/>
    </row>
    <row r="162" spans="3:7" ht="13" x14ac:dyDescent="0.15">
      <c r="C162" s="3"/>
      <c r="D162" s="3"/>
      <c r="E162" s="3"/>
      <c r="F162" s="3"/>
      <c r="G162" s="3"/>
    </row>
    <row r="163" spans="3:7" ht="13" x14ac:dyDescent="0.15">
      <c r="C163" s="3"/>
      <c r="D163" s="3"/>
      <c r="E163" s="3"/>
      <c r="F163" s="3"/>
      <c r="G163" s="3"/>
    </row>
    <row r="164" spans="3:7" ht="13" x14ac:dyDescent="0.15">
      <c r="C164" s="3"/>
      <c r="D164" s="3"/>
      <c r="E164" s="3"/>
      <c r="F164" s="3"/>
      <c r="G164" s="3"/>
    </row>
    <row r="165" spans="3:7" ht="13" x14ac:dyDescent="0.15">
      <c r="C165" s="3"/>
      <c r="D165" s="3"/>
      <c r="E165" s="3"/>
      <c r="F165" s="3"/>
      <c r="G165" s="3"/>
    </row>
    <row r="166" spans="3:7" ht="13" x14ac:dyDescent="0.15">
      <c r="C166" s="3"/>
      <c r="D166" s="3"/>
      <c r="E166" s="3"/>
      <c r="F166" s="3"/>
      <c r="G166" s="3"/>
    </row>
    <row r="167" spans="3:7" ht="13" x14ac:dyDescent="0.15">
      <c r="C167" s="3"/>
      <c r="D167" s="3"/>
      <c r="E167" s="3"/>
      <c r="F167" s="3"/>
      <c r="G167" s="3"/>
    </row>
    <row r="168" spans="3:7" ht="13" x14ac:dyDescent="0.15">
      <c r="C168" s="3"/>
      <c r="D168" s="3"/>
      <c r="E168" s="3"/>
      <c r="F168" s="3"/>
      <c r="G168" s="3"/>
    </row>
    <row r="169" spans="3:7" ht="13" x14ac:dyDescent="0.15">
      <c r="C169" s="3"/>
      <c r="D169" s="3"/>
      <c r="E169" s="3"/>
      <c r="F169" s="3"/>
      <c r="G169" s="3"/>
    </row>
    <row r="170" spans="3:7" ht="13" x14ac:dyDescent="0.15">
      <c r="C170" s="3"/>
      <c r="D170" s="3"/>
      <c r="E170" s="3"/>
      <c r="F170" s="3"/>
      <c r="G170" s="3"/>
    </row>
    <row r="171" spans="3:7" ht="13" x14ac:dyDescent="0.15">
      <c r="C171" s="3"/>
      <c r="D171" s="3"/>
      <c r="E171" s="3"/>
      <c r="F171" s="3"/>
      <c r="G171" s="3"/>
    </row>
    <row r="172" spans="3:7" ht="13" x14ac:dyDescent="0.15">
      <c r="C172" s="3"/>
      <c r="D172" s="3"/>
      <c r="E172" s="3"/>
      <c r="F172" s="3"/>
      <c r="G172" s="3"/>
    </row>
    <row r="173" spans="3:7" ht="13" x14ac:dyDescent="0.15">
      <c r="C173" s="3"/>
      <c r="D173" s="3"/>
      <c r="E173" s="3"/>
      <c r="F173" s="3"/>
      <c r="G173" s="3"/>
    </row>
    <row r="174" spans="3:7" ht="13" x14ac:dyDescent="0.15">
      <c r="C174" s="3"/>
      <c r="D174" s="3"/>
      <c r="E174" s="3"/>
      <c r="F174" s="3"/>
      <c r="G174" s="3"/>
    </row>
    <row r="175" spans="3:7" ht="13" x14ac:dyDescent="0.15">
      <c r="C175" s="3"/>
      <c r="D175" s="3"/>
      <c r="E175" s="3"/>
      <c r="F175" s="3"/>
      <c r="G175" s="3"/>
    </row>
    <row r="176" spans="3:7" ht="13" x14ac:dyDescent="0.15">
      <c r="C176" s="3"/>
      <c r="D176" s="3"/>
      <c r="E176" s="3"/>
      <c r="F176" s="3"/>
      <c r="G176" s="3"/>
    </row>
    <row r="177" spans="3:7" ht="13" x14ac:dyDescent="0.15">
      <c r="C177" s="3"/>
      <c r="D177" s="3"/>
      <c r="E177" s="3"/>
      <c r="F177" s="3"/>
      <c r="G177" s="3"/>
    </row>
    <row r="178" spans="3:7" ht="13" x14ac:dyDescent="0.15">
      <c r="C178" s="3"/>
      <c r="D178" s="3"/>
      <c r="E178" s="3"/>
      <c r="F178" s="3"/>
      <c r="G178" s="3"/>
    </row>
    <row r="179" spans="3:7" ht="13" x14ac:dyDescent="0.15">
      <c r="C179" s="3"/>
      <c r="D179" s="3"/>
      <c r="E179" s="3"/>
      <c r="F179" s="3"/>
      <c r="G179" s="3"/>
    </row>
    <row r="180" spans="3:7" ht="13" x14ac:dyDescent="0.15">
      <c r="C180" s="3"/>
      <c r="D180" s="3"/>
      <c r="E180" s="3"/>
      <c r="F180" s="3"/>
      <c r="G180" s="3"/>
    </row>
    <row r="181" spans="3:7" ht="13" x14ac:dyDescent="0.15">
      <c r="C181" s="3"/>
      <c r="D181" s="3"/>
      <c r="E181" s="3"/>
      <c r="F181" s="3"/>
      <c r="G181" s="3"/>
    </row>
    <row r="182" spans="3:7" ht="13" x14ac:dyDescent="0.15">
      <c r="C182" s="3"/>
      <c r="D182" s="3"/>
      <c r="E182" s="3"/>
      <c r="F182" s="3"/>
      <c r="G182" s="3"/>
    </row>
    <row r="183" spans="3:7" ht="13" x14ac:dyDescent="0.15">
      <c r="C183" s="3"/>
      <c r="D183" s="3"/>
      <c r="E183" s="3"/>
      <c r="F183" s="3"/>
      <c r="G183" s="3"/>
    </row>
    <row r="184" spans="3:7" ht="13" x14ac:dyDescent="0.15">
      <c r="C184" s="3"/>
      <c r="D184" s="3"/>
      <c r="E184" s="3"/>
      <c r="F184" s="3"/>
      <c r="G184" s="3"/>
    </row>
    <row r="185" spans="3:7" ht="13" x14ac:dyDescent="0.15">
      <c r="C185" s="3"/>
      <c r="D185" s="3"/>
      <c r="E185" s="3"/>
      <c r="F185" s="3"/>
      <c r="G185" s="3"/>
    </row>
    <row r="186" spans="3:7" ht="13" x14ac:dyDescent="0.15">
      <c r="C186" s="3"/>
      <c r="D186" s="3"/>
      <c r="E186" s="3"/>
      <c r="F186" s="3"/>
      <c r="G186" s="3"/>
    </row>
    <row r="187" spans="3:7" ht="13" x14ac:dyDescent="0.15">
      <c r="C187" s="3"/>
      <c r="D187" s="3"/>
      <c r="E187" s="3"/>
      <c r="F187" s="3"/>
      <c r="G187" s="3"/>
    </row>
    <row r="188" spans="3:7" ht="13" x14ac:dyDescent="0.15">
      <c r="C188" s="3"/>
      <c r="D188" s="3"/>
      <c r="E188" s="3"/>
      <c r="F188" s="3"/>
      <c r="G188" s="3"/>
    </row>
    <row r="189" spans="3:7" ht="13" x14ac:dyDescent="0.15">
      <c r="C189" s="3"/>
      <c r="D189" s="3"/>
      <c r="E189" s="3"/>
      <c r="F189" s="3"/>
      <c r="G189" s="3"/>
    </row>
    <row r="190" spans="3:7" ht="13" x14ac:dyDescent="0.15">
      <c r="C190" s="3"/>
      <c r="D190" s="3"/>
      <c r="E190" s="3"/>
      <c r="F190" s="3"/>
      <c r="G190" s="3"/>
    </row>
    <row r="191" spans="3:7" ht="13" x14ac:dyDescent="0.15">
      <c r="C191" s="3"/>
      <c r="D191" s="3"/>
      <c r="E191" s="3"/>
      <c r="F191" s="3"/>
      <c r="G191" s="3"/>
    </row>
    <row r="192" spans="3:7" ht="13" x14ac:dyDescent="0.15">
      <c r="C192" s="3"/>
      <c r="D192" s="3"/>
      <c r="E192" s="3"/>
      <c r="F192" s="3"/>
      <c r="G192" s="3"/>
    </row>
    <row r="193" spans="3:7" ht="13" x14ac:dyDescent="0.15">
      <c r="C193" s="3"/>
      <c r="D193" s="3"/>
      <c r="E193" s="3"/>
      <c r="F193" s="3"/>
      <c r="G193" s="3"/>
    </row>
    <row r="194" spans="3:7" ht="13" x14ac:dyDescent="0.15">
      <c r="C194" s="3"/>
      <c r="D194" s="3"/>
      <c r="E194" s="3"/>
      <c r="F194" s="3"/>
      <c r="G194" s="3"/>
    </row>
    <row r="195" spans="3:7" ht="13" x14ac:dyDescent="0.15">
      <c r="C195" s="3"/>
      <c r="D195" s="3"/>
      <c r="E195" s="3"/>
      <c r="F195" s="3"/>
      <c r="G195" s="3"/>
    </row>
    <row r="196" spans="3:7" ht="13" x14ac:dyDescent="0.15">
      <c r="C196" s="3"/>
      <c r="D196" s="3"/>
      <c r="E196" s="3"/>
      <c r="F196" s="3"/>
      <c r="G196" s="3"/>
    </row>
    <row r="197" spans="3:7" ht="13" x14ac:dyDescent="0.15">
      <c r="C197" s="3"/>
      <c r="D197" s="3"/>
      <c r="E197" s="3"/>
      <c r="F197" s="3"/>
      <c r="G197" s="3"/>
    </row>
    <row r="198" spans="3:7" ht="13" x14ac:dyDescent="0.15">
      <c r="C198" s="3"/>
      <c r="D198" s="3"/>
      <c r="E198" s="3"/>
      <c r="F198" s="3"/>
      <c r="G198" s="3"/>
    </row>
    <row r="199" spans="3:7" ht="13" x14ac:dyDescent="0.15">
      <c r="C199" s="3"/>
      <c r="D199" s="3"/>
      <c r="E199" s="3"/>
      <c r="F199" s="3"/>
      <c r="G199" s="3"/>
    </row>
    <row r="200" spans="3:7" ht="13" x14ac:dyDescent="0.15">
      <c r="C200" s="3"/>
      <c r="D200" s="3"/>
      <c r="E200" s="3"/>
      <c r="F200" s="3"/>
      <c r="G200" s="3"/>
    </row>
    <row r="201" spans="3:7" ht="13" x14ac:dyDescent="0.15">
      <c r="C201" s="3"/>
      <c r="D201" s="3"/>
      <c r="E201" s="3"/>
      <c r="F201" s="3"/>
      <c r="G201" s="3"/>
    </row>
    <row r="202" spans="3:7" ht="13" x14ac:dyDescent="0.15">
      <c r="C202" s="3"/>
      <c r="D202" s="3"/>
      <c r="E202" s="3"/>
      <c r="F202" s="3"/>
      <c r="G202" s="3"/>
    </row>
    <row r="203" spans="3:7" ht="13" x14ac:dyDescent="0.15">
      <c r="C203" s="3"/>
      <c r="D203" s="3"/>
      <c r="E203" s="3"/>
      <c r="F203" s="3"/>
      <c r="G203" s="3"/>
    </row>
    <row r="204" spans="3:7" ht="13" x14ac:dyDescent="0.15">
      <c r="C204" s="3"/>
      <c r="D204" s="3"/>
      <c r="E204" s="3"/>
      <c r="F204" s="3"/>
      <c r="G204" s="3"/>
    </row>
    <row r="205" spans="3:7" ht="13" x14ac:dyDescent="0.15">
      <c r="C205" s="3"/>
      <c r="D205" s="3"/>
      <c r="E205" s="3"/>
      <c r="F205" s="3"/>
      <c r="G205" s="3"/>
    </row>
    <row r="206" spans="3:7" ht="13" x14ac:dyDescent="0.15">
      <c r="C206" s="3"/>
      <c r="D206" s="3"/>
      <c r="E206" s="3"/>
      <c r="F206" s="3"/>
      <c r="G206" s="3"/>
    </row>
    <row r="207" spans="3:7" ht="13" x14ac:dyDescent="0.15">
      <c r="C207" s="3"/>
      <c r="D207" s="3"/>
      <c r="E207" s="3"/>
      <c r="F207" s="3"/>
      <c r="G207" s="3"/>
    </row>
    <row r="208" spans="3:7" ht="13" x14ac:dyDescent="0.15">
      <c r="C208" s="3"/>
      <c r="D208" s="3"/>
      <c r="E208" s="3"/>
      <c r="F208" s="3"/>
      <c r="G208" s="3"/>
    </row>
    <row r="209" spans="3:7" ht="13" x14ac:dyDescent="0.15">
      <c r="C209" s="3"/>
      <c r="D209" s="3"/>
      <c r="E209" s="3"/>
      <c r="F209" s="3"/>
      <c r="G209" s="3"/>
    </row>
    <row r="210" spans="3:7" ht="13" x14ac:dyDescent="0.15">
      <c r="C210" s="3"/>
      <c r="D210" s="3"/>
      <c r="E210" s="3"/>
      <c r="F210" s="3"/>
      <c r="G210" s="3"/>
    </row>
    <row r="211" spans="3:7" ht="13" x14ac:dyDescent="0.15">
      <c r="C211" s="3"/>
      <c r="D211" s="3"/>
      <c r="E211" s="3"/>
      <c r="F211" s="3"/>
      <c r="G211" s="3"/>
    </row>
    <row r="212" spans="3:7" ht="13" x14ac:dyDescent="0.15">
      <c r="C212" s="3"/>
      <c r="D212" s="3"/>
      <c r="E212" s="3"/>
      <c r="F212" s="3"/>
      <c r="G212" s="3"/>
    </row>
    <row r="213" spans="3:7" ht="13" x14ac:dyDescent="0.15">
      <c r="C213" s="3"/>
      <c r="D213" s="3"/>
      <c r="E213" s="3"/>
      <c r="F213" s="3"/>
      <c r="G213" s="3"/>
    </row>
    <row r="214" spans="3:7" ht="13" x14ac:dyDescent="0.15">
      <c r="C214" s="3"/>
      <c r="D214" s="3"/>
      <c r="E214" s="3"/>
      <c r="F214" s="3"/>
      <c r="G214" s="3"/>
    </row>
    <row r="215" spans="3:7" ht="13" x14ac:dyDescent="0.15">
      <c r="C215" s="3"/>
      <c r="D215" s="3"/>
      <c r="E215" s="3"/>
      <c r="F215" s="3"/>
      <c r="G215" s="3"/>
    </row>
    <row r="216" spans="3:7" ht="13" x14ac:dyDescent="0.15">
      <c r="C216" s="3"/>
      <c r="D216" s="3"/>
      <c r="E216" s="3"/>
      <c r="F216" s="3"/>
      <c r="G216" s="3"/>
    </row>
    <row r="217" spans="3:7" ht="13" x14ac:dyDescent="0.15">
      <c r="C217" s="3"/>
      <c r="D217" s="3"/>
      <c r="E217" s="3"/>
      <c r="F217" s="3"/>
      <c r="G217" s="3"/>
    </row>
    <row r="218" spans="3:7" ht="13" x14ac:dyDescent="0.15">
      <c r="C218" s="3"/>
      <c r="D218" s="3"/>
      <c r="E218" s="3"/>
      <c r="F218" s="3"/>
      <c r="G218" s="3"/>
    </row>
    <row r="219" spans="3:7" ht="13" x14ac:dyDescent="0.15">
      <c r="C219" s="3"/>
      <c r="D219" s="3"/>
      <c r="E219" s="3"/>
      <c r="F219" s="3"/>
      <c r="G219" s="3"/>
    </row>
    <row r="220" spans="3:7" ht="13" x14ac:dyDescent="0.15">
      <c r="C220" s="3"/>
      <c r="D220" s="3"/>
      <c r="E220" s="3"/>
      <c r="F220" s="3"/>
      <c r="G220" s="3"/>
    </row>
    <row r="221" spans="3:7" ht="13" x14ac:dyDescent="0.15">
      <c r="C221" s="3"/>
      <c r="D221" s="3"/>
      <c r="E221" s="3"/>
      <c r="F221" s="3"/>
      <c r="G221" s="3"/>
    </row>
    <row r="222" spans="3:7" ht="13" x14ac:dyDescent="0.15">
      <c r="C222" s="3"/>
      <c r="D222" s="3"/>
      <c r="E222" s="3"/>
      <c r="F222" s="3"/>
      <c r="G222" s="3"/>
    </row>
    <row r="223" spans="3:7" ht="13" x14ac:dyDescent="0.15">
      <c r="C223" s="3"/>
      <c r="D223" s="3"/>
      <c r="E223" s="3"/>
      <c r="F223" s="3"/>
      <c r="G223" s="3"/>
    </row>
    <row r="224" spans="3:7" ht="13" x14ac:dyDescent="0.15">
      <c r="C224" s="3"/>
      <c r="D224" s="3"/>
      <c r="E224" s="3"/>
      <c r="F224" s="3"/>
      <c r="G224" s="3"/>
    </row>
    <row r="225" spans="3:7" ht="13" x14ac:dyDescent="0.15">
      <c r="C225" s="3"/>
      <c r="D225" s="3"/>
      <c r="E225" s="3"/>
      <c r="F225" s="3"/>
      <c r="G225" s="3"/>
    </row>
    <row r="226" spans="3:7" ht="13" x14ac:dyDescent="0.15">
      <c r="C226" s="3"/>
      <c r="D226" s="3"/>
      <c r="E226" s="3"/>
      <c r="F226" s="3"/>
      <c r="G226" s="3"/>
    </row>
    <row r="227" spans="3:7" ht="13" x14ac:dyDescent="0.15">
      <c r="C227" s="3"/>
      <c r="D227" s="3"/>
      <c r="E227" s="3"/>
      <c r="F227" s="3"/>
      <c r="G227" s="3"/>
    </row>
    <row r="228" spans="3:7" ht="13" x14ac:dyDescent="0.15">
      <c r="C228" s="3"/>
      <c r="D228" s="3"/>
      <c r="E228" s="3"/>
      <c r="F228" s="3"/>
      <c r="G228" s="3"/>
    </row>
    <row r="229" spans="3:7" ht="13" x14ac:dyDescent="0.15">
      <c r="C229" s="3"/>
      <c r="D229" s="3"/>
      <c r="E229" s="3"/>
      <c r="F229" s="3"/>
      <c r="G229" s="3"/>
    </row>
    <row r="230" spans="3:7" ht="13" x14ac:dyDescent="0.15">
      <c r="C230" s="3"/>
      <c r="D230" s="3"/>
      <c r="E230" s="3"/>
      <c r="F230" s="3"/>
      <c r="G230" s="3"/>
    </row>
    <row r="231" spans="3:7" ht="13" x14ac:dyDescent="0.15">
      <c r="C231" s="3"/>
      <c r="D231" s="3"/>
      <c r="E231" s="3"/>
      <c r="F231" s="3"/>
      <c r="G231" s="3"/>
    </row>
    <row r="232" spans="3:7" ht="13" x14ac:dyDescent="0.15">
      <c r="C232" s="3"/>
      <c r="D232" s="3"/>
      <c r="E232" s="3"/>
      <c r="F232" s="3"/>
      <c r="G232" s="3"/>
    </row>
    <row r="233" spans="3:7" ht="13" x14ac:dyDescent="0.15">
      <c r="C233" s="3"/>
      <c r="D233" s="3"/>
      <c r="E233" s="3"/>
      <c r="F233" s="3"/>
      <c r="G233" s="3"/>
    </row>
    <row r="234" spans="3:7" ht="13" x14ac:dyDescent="0.15">
      <c r="C234" s="3"/>
      <c r="D234" s="3"/>
      <c r="E234" s="3"/>
      <c r="F234" s="3"/>
      <c r="G234" s="3"/>
    </row>
    <row r="235" spans="3:7" ht="13" x14ac:dyDescent="0.15">
      <c r="C235" s="3"/>
      <c r="D235" s="3"/>
      <c r="E235" s="3"/>
      <c r="F235" s="3"/>
      <c r="G235" s="3"/>
    </row>
    <row r="236" spans="3:7" ht="13" x14ac:dyDescent="0.15">
      <c r="C236" s="3"/>
      <c r="D236" s="3"/>
      <c r="E236" s="3"/>
      <c r="F236" s="3"/>
      <c r="G236" s="3"/>
    </row>
    <row r="237" spans="3:7" ht="13" x14ac:dyDescent="0.15">
      <c r="C237" s="3"/>
      <c r="D237" s="3"/>
      <c r="E237" s="3"/>
      <c r="F237" s="3"/>
      <c r="G237" s="3"/>
    </row>
    <row r="238" spans="3:7" ht="13" x14ac:dyDescent="0.15">
      <c r="C238" s="3"/>
      <c r="D238" s="3"/>
      <c r="E238" s="3"/>
      <c r="F238" s="3"/>
      <c r="G238" s="3"/>
    </row>
    <row r="239" spans="3:7" ht="13" x14ac:dyDescent="0.15">
      <c r="C239" s="3"/>
      <c r="D239" s="3"/>
      <c r="E239" s="3"/>
      <c r="F239" s="3"/>
      <c r="G239" s="3"/>
    </row>
    <row r="240" spans="3:7" ht="13" x14ac:dyDescent="0.15">
      <c r="C240" s="3"/>
      <c r="D240" s="3"/>
      <c r="E240" s="3"/>
      <c r="F240" s="3"/>
      <c r="G240" s="3"/>
    </row>
    <row r="241" spans="3:7" ht="13" x14ac:dyDescent="0.15">
      <c r="C241" s="3"/>
      <c r="D241" s="3"/>
      <c r="E241" s="3"/>
      <c r="F241" s="3"/>
      <c r="G241" s="3"/>
    </row>
    <row r="242" spans="3:7" ht="13" x14ac:dyDescent="0.15">
      <c r="C242" s="3"/>
      <c r="D242" s="3"/>
      <c r="E242" s="3"/>
      <c r="F242" s="3"/>
      <c r="G242" s="3"/>
    </row>
    <row r="243" spans="3:7" ht="13" x14ac:dyDescent="0.15">
      <c r="C243" s="3"/>
      <c r="D243" s="3"/>
      <c r="E243" s="3"/>
      <c r="F243" s="3"/>
      <c r="G243" s="3"/>
    </row>
    <row r="244" spans="3:7" ht="13" x14ac:dyDescent="0.15">
      <c r="C244" s="3"/>
      <c r="D244" s="3"/>
      <c r="E244" s="3"/>
      <c r="F244" s="3"/>
      <c r="G244" s="3"/>
    </row>
    <row r="245" spans="3:7" ht="13" x14ac:dyDescent="0.15">
      <c r="C245" s="3"/>
      <c r="D245" s="3"/>
      <c r="E245" s="3"/>
      <c r="F245" s="3"/>
      <c r="G245" s="3"/>
    </row>
    <row r="246" spans="3:7" ht="13" x14ac:dyDescent="0.15">
      <c r="C246" s="3"/>
      <c r="D246" s="3"/>
      <c r="E246" s="3"/>
      <c r="F246" s="3"/>
      <c r="G246" s="3"/>
    </row>
    <row r="247" spans="3:7" ht="13" x14ac:dyDescent="0.15">
      <c r="C247" s="3"/>
      <c r="D247" s="3"/>
      <c r="E247" s="3"/>
      <c r="F247" s="3"/>
      <c r="G247" s="3"/>
    </row>
    <row r="248" spans="3:7" ht="13" x14ac:dyDescent="0.15">
      <c r="C248" s="3"/>
      <c r="D248" s="3"/>
      <c r="E248" s="3"/>
      <c r="F248" s="3"/>
      <c r="G248" s="3"/>
    </row>
    <row r="249" spans="3:7" ht="13" x14ac:dyDescent="0.15">
      <c r="C249" s="3"/>
      <c r="D249" s="3"/>
      <c r="E249" s="3"/>
      <c r="F249" s="3"/>
      <c r="G249" s="3"/>
    </row>
    <row r="250" spans="3:7" ht="13" x14ac:dyDescent="0.15">
      <c r="C250" s="3"/>
      <c r="D250" s="3"/>
      <c r="E250" s="3"/>
      <c r="F250" s="3"/>
      <c r="G250" s="3"/>
    </row>
    <row r="251" spans="3:7" ht="13" x14ac:dyDescent="0.15">
      <c r="C251" s="3"/>
      <c r="D251" s="3"/>
      <c r="E251" s="3"/>
      <c r="F251" s="3"/>
      <c r="G251" s="3"/>
    </row>
    <row r="252" spans="3:7" ht="13" x14ac:dyDescent="0.15">
      <c r="C252" s="3"/>
      <c r="D252" s="3"/>
      <c r="E252" s="3"/>
      <c r="F252" s="3"/>
      <c r="G252" s="3"/>
    </row>
    <row r="253" spans="3:7" ht="13" x14ac:dyDescent="0.15">
      <c r="C253" s="3"/>
      <c r="D253" s="3"/>
      <c r="E253" s="3"/>
      <c r="F253" s="3"/>
      <c r="G253" s="3"/>
    </row>
    <row r="254" spans="3:7" ht="13" x14ac:dyDescent="0.15">
      <c r="C254" s="3"/>
      <c r="D254" s="3"/>
      <c r="E254" s="3"/>
      <c r="F254" s="3"/>
      <c r="G254" s="3"/>
    </row>
    <row r="255" spans="3:7" ht="13" x14ac:dyDescent="0.15">
      <c r="C255" s="3"/>
      <c r="D255" s="3"/>
      <c r="E255" s="3"/>
      <c r="F255" s="3"/>
      <c r="G255" s="3"/>
    </row>
    <row r="256" spans="3:7" ht="13" x14ac:dyDescent="0.15">
      <c r="C256" s="3"/>
      <c r="D256" s="3"/>
      <c r="E256" s="3"/>
      <c r="F256" s="3"/>
      <c r="G256" s="3"/>
    </row>
    <row r="257" spans="3:7" ht="13" x14ac:dyDescent="0.15">
      <c r="C257" s="3"/>
      <c r="D257" s="3"/>
      <c r="E257" s="3"/>
      <c r="F257" s="3"/>
      <c r="G257" s="3"/>
    </row>
    <row r="258" spans="3:7" ht="13" x14ac:dyDescent="0.15">
      <c r="C258" s="3"/>
      <c r="D258" s="3"/>
      <c r="E258" s="3"/>
      <c r="F258" s="3"/>
      <c r="G258" s="3"/>
    </row>
    <row r="259" spans="3:7" ht="13" x14ac:dyDescent="0.15">
      <c r="C259" s="3"/>
      <c r="D259" s="3"/>
      <c r="E259" s="3"/>
      <c r="F259" s="3"/>
      <c r="G259" s="3"/>
    </row>
    <row r="260" spans="3:7" ht="13" x14ac:dyDescent="0.15">
      <c r="C260" s="3"/>
      <c r="D260" s="3"/>
      <c r="E260" s="3"/>
      <c r="F260" s="3"/>
      <c r="G260" s="3"/>
    </row>
    <row r="261" spans="3:7" ht="13" x14ac:dyDescent="0.15">
      <c r="C261" s="3"/>
      <c r="D261" s="3"/>
      <c r="E261" s="3"/>
      <c r="F261" s="3"/>
      <c r="G261" s="3"/>
    </row>
    <row r="262" spans="3:7" ht="13" x14ac:dyDescent="0.15">
      <c r="C262" s="3"/>
      <c r="D262" s="3"/>
      <c r="E262" s="3"/>
      <c r="F262" s="3"/>
      <c r="G262" s="3"/>
    </row>
    <row r="263" spans="3:7" ht="13" x14ac:dyDescent="0.15">
      <c r="C263" s="3"/>
      <c r="D263" s="3"/>
      <c r="E263" s="3"/>
      <c r="F263" s="3"/>
      <c r="G263" s="3"/>
    </row>
    <row r="264" spans="3:7" ht="13" x14ac:dyDescent="0.15">
      <c r="C264" s="3"/>
      <c r="D264" s="3"/>
      <c r="E264" s="3"/>
      <c r="F264" s="3"/>
      <c r="G264" s="3"/>
    </row>
    <row r="265" spans="3:7" ht="13" x14ac:dyDescent="0.15">
      <c r="C265" s="3"/>
      <c r="D265" s="3"/>
      <c r="E265" s="3"/>
      <c r="F265" s="3"/>
      <c r="G265" s="3"/>
    </row>
    <row r="266" spans="3:7" ht="13" x14ac:dyDescent="0.15">
      <c r="C266" s="3"/>
      <c r="D266" s="3"/>
      <c r="E266" s="3"/>
      <c r="F266" s="3"/>
      <c r="G266" s="3"/>
    </row>
    <row r="267" spans="3:7" ht="13" x14ac:dyDescent="0.15">
      <c r="C267" s="3"/>
      <c r="D267" s="3"/>
      <c r="E267" s="3"/>
      <c r="F267" s="3"/>
      <c r="G267" s="3"/>
    </row>
    <row r="268" spans="3:7" ht="13" x14ac:dyDescent="0.15">
      <c r="C268" s="3"/>
      <c r="D268" s="3"/>
      <c r="E268" s="3"/>
      <c r="F268" s="3"/>
      <c r="G268" s="3"/>
    </row>
    <row r="269" spans="3:7" ht="13" x14ac:dyDescent="0.15">
      <c r="C269" s="3"/>
      <c r="D269" s="3"/>
      <c r="E269" s="3"/>
      <c r="F269" s="3"/>
      <c r="G269" s="3"/>
    </row>
    <row r="270" spans="3:7" ht="13" x14ac:dyDescent="0.15">
      <c r="C270" s="3"/>
      <c r="D270" s="3"/>
      <c r="E270" s="3"/>
      <c r="F270" s="3"/>
      <c r="G270" s="3"/>
    </row>
    <row r="271" spans="3:7" ht="13" x14ac:dyDescent="0.15">
      <c r="C271" s="3"/>
      <c r="D271" s="3"/>
      <c r="E271" s="3"/>
      <c r="F271" s="3"/>
      <c r="G271" s="3"/>
    </row>
    <row r="272" spans="3:7" ht="13" x14ac:dyDescent="0.15">
      <c r="C272" s="3"/>
      <c r="D272" s="3"/>
      <c r="E272" s="3"/>
      <c r="F272" s="3"/>
      <c r="G272" s="3"/>
    </row>
    <row r="273" spans="3:7" ht="13" x14ac:dyDescent="0.15">
      <c r="C273" s="3"/>
      <c r="D273" s="3"/>
      <c r="E273" s="3"/>
      <c r="F273" s="3"/>
      <c r="G273" s="3"/>
    </row>
    <row r="274" spans="3:7" ht="13" x14ac:dyDescent="0.15">
      <c r="C274" s="3"/>
      <c r="D274" s="3"/>
      <c r="E274" s="3"/>
      <c r="F274" s="3"/>
      <c r="G274" s="3"/>
    </row>
    <row r="275" spans="3:7" ht="13" x14ac:dyDescent="0.15">
      <c r="C275" s="3"/>
      <c r="D275" s="3"/>
      <c r="E275" s="3"/>
      <c r="F275" s="3"/>
      <c r="G275" s="3"/>
    </row>
    <row r="276" spans="3:7" ht="13" x14ac:dyDescent="0.15">
      <c r="C276" s="3"/>
      <c r="D276" s="3"/>
      <c r="E276" s="3"/>
      <c r="F276" s="3"/>
      <c r="G276" s="3"/>
    </row>
    <row r="277" spans="3:7" ht="13" x14ac:dyDescent="0.15">
      <c r="C277" s="3"/>
      <c r="D277" s="3"/>
      <c r="E277" s="3"/>
      <c r="F277" s="3"/>
      <c r="G277" s="3"/>
    </row>
    <row r="278" spans="3:7" ht="13" x14ac:dyDescent="0.15">
      <c r="C278" s="3"/>
      <c r="D278" s="3"/>
      <c r="E278" s="3"/>
      <c r="F278" s="3"/>
      <c r="G278" s="3"/>
    </row>
    <row r="279" spans="3:7" ht="13" x14ac:dyDescent="0.15">
      <c r="C279" s="3"/>
      <c r="D279" s="3"/>
      <c r="E279" s="3"/>
      <c r="F279" s="3"/>
      <c r="G279" s="3"/>
    </row>
    <row r="280" spans="3:7" ht="13" x14ac:dyDescent="0.15">
      <c r="C280" s="3"/>
      <c r="D280" s="3"/>
      <c r="E280" s="3"/>
      <c r="F280" s="3"/>
      <c r="G280" s="3"/>
    </row>
    <row r="281" spans="3:7" ht="13" x14ac:dyDescent="0.15">
      <c r="C281" s="3"/>
      <c r="D281" s="3"/>
      <c r="E281" s="3"/>
      <c r="F281" s="3"/>
      <c r="G281" s="3"/>
    </row>
    <row r="282" spans="3:7" ht="13" x14ac:dyDescent="0.15">
      <c r="C282" s="3"/>
      <c r="D282" s="3"/>
      <c r="E282" s="3"/>
      <c r="F282" s="3"/>
      <c r="G282" s="3"/>
    </row>
    <row r="283" spans="3:7" ht="13" x14ac:dyDescent="0.15">
      <c r="C283" s="3"/>
      <c r="D283" s="3"/>
      <c r="E283" s="3"/>
      <c r="F283" s="3"/>
      <c r="G283" s="3"/>
    </row>
    <row r="284" spans="3:7" ht="13" x14ac:dyDescent="0.15">
      <c r="C284" s="3"/>
      <c r="D284" s="3"/>
      <c r="E284" s="3"/>
      <c r="F284" s="3"/>
      <c r="G284" s="3"/>
    </row>
    <row r="285" spans="3:7" ht="13" x14ac:dyDescent="0.15">
      <c r="C285" s="3"/>
      <c r="D285" s="3"/>
      <c r="E285" s="3"/>
      <c r="F285" s="3"/>
      <c r="G285" s="3"/>
    </row>
    <row r="286" spans="3:7" ht="13" x14ac:dyDescent="0.15">
      <c r="C286" s="3"/>
      <c r="D286" s="3"/>
      <c r="E286" s="3"/>
      <c r="F286" s="3"/>
      <c r="G286" s="3"/>
    </row>
    <row r="287" spans="3:7" ht="13" x14ac:dyDescent="0.15">
      <c r="C287" s="3"/>
      <c r="D287" s="3"/>
      <c r="E287" s="3"/>
      <c r="F287" s="3"/>
      <c r="G287" s="3"/>
    </row>
    <row r="288" spans="3:7" ht="13" x14ac:dyDescent="0.15">
      <c r="C288" s="3"/>
      <c r="D288" s="3"/>
      <c r="E288" s="3"/>
      <c r="F288" s="3"/>
      <c r="G288" s="3"/>
    </row>
    <row r="289" spans="3:7" ht="13" x14ac:dyDescent="0.15">
      <c r="C289" s="3"/>
      <c r="D289" s="3"/>
      <c r="E289" s="3"/>
      <c r="F289" s="3"/>
      <c r="G289" s="3"/>
    </row>
    <row r="290" spans="3:7" ht="13" x14ac:dyDescent="0.15">
      <c r="C290" s="3"/>
      <c r="D290" s="3"/>
      <c r="E290" s="3"/>
      <c r="F290" s="3"/>
      <c r="G290" s="3"/>
    </row>
    <row r="291" spans="3:7" ht="13" x14ac:dyDescent="0.15">
      <c r="C291" s="3"/>
      <c r="D291" s="3"/>
      <c r="E291" s="3"/>
      <c r="F291" s="3"/>
      <c r="G291" s="3"/>
    </row>
    <row r="292" spans="3:7" ht="13" x14ac:dyDescent="0.15">
      <c r="C292" s="3"/>
      <c r="D292" s="3"/>
      <c r="E292" s="3"/>
      <c r="F292" s="3"/>
      <c r="G292" s="3"/>
    </row>
    <row r="293" spans="3:7" ht="13" x14ac:dyDescent="0.15">
      <c r="C293" s="3"/>
      <c r="D293" s="3"/>
      <c r="E293" s="3"/>
      <c r="F293" s="3"/>
      <c r="G293" s="3"/>
    </row>
    <row r="294" spans="3:7" ht="13" x14ac:dyDescent="0.15">
      <c r="C294" s="3"/>
      <c r="D294" s="3"/>
      <c r="E294" s="3"/>
      <c r="F294" s="3"/>
      <c r="G294" s="3"/>
    </row>
    <row r="295" spans="3:7" ht="13" x14ac:dyDescent="0.15">
      <c r="C295" s="3"/>
      <c r="D295" s="3"/>
      <c r="E295" s="3"/>
      <c r="F295" s="3"/>
      <c r="G295" s="3"/>
    </row>
    <row r="296" spans="3:7" ht="13" x14ac:dyDescent="0.15">
      <c r="C296" s="3"/>
      <c r="D296" s="3"/>
      <c r="E296" s="3"/>
      <c r="F296" s="3"/>
      <c r="G296" s="3"/>
    </row>
    <row r="297" spans="3:7" ht="13" x14ac:dyDescent="0.15">
      <c r="C297" s="3"/>
      <c r="D297" s="3"/>
      <c r="E297" s="3"/>
      <c r="F297" s="3"/>
      <c r="G297" s="3"/>
    </row>
    <row r="298" spans="3:7" ht="13" x14ac:dyDescent="0.15">
      <c r="C298" s="3"/>
      <c r="D298" s="3"/>
      <c r="E298" s="3"/>
      <c r="F298" s="3"/>
      <c r="G298" s="3"/>
    </row>
    <row r="299" spans="3:7" ht="13" x14ac:dyDescent="0.15">
      <c r="C299" s="3"/>
      <c r="D299" s="3"/>
      <c r="E299" s="3"/>
      <c r="F299" s="3"/>
      <c r="G299" s="3"/>
    </row>
    <row r="300" spans="3:7" ht="13" x14ac:dyDescent="0.15">
      <c r="C300" s="3"/>
      <c r="D300" s="3"/>
      <c r="E300" s="3"/>
      <c r="F300" s="3"/>
      <c r="G300" s="3"/>
    </row>
    <row r="301" spans="3:7" ht="13" x14ac:dyDescent="0.15">
      <c r="C301" s="3"/>
      <c r="D301" s="3"/>
      <c r="E301" s="3"/>
      <c r="F301" s="3"/>
      <c r="G301" s="3"/>
    </row>
    <row r="302" spans="3:7" ht="13" x14ac:dyDescent="0.15">
      <c r="C302" s="3"/>
      <c r="D302" s="3"/>
      <c r="E302" s="3"/>
      <c r="F302" s="3"/>
      <c r="G302" s="3"/>
    </row>
    <row r="303" spans="3:7" ht="13" x14ac:dyDescent="0.15">
      <c r="C303" s="3"/>
      <c r="D303" s="3"/>
      <c r="E303" s="3"/>
      <c r="F303" s="3"/>
      <c r="G303" s="3"/>
    </row>
    <row r="304" spans="3:7" ht="13" x14ac:dyDescent="0.15">
      <c r="C304" s="3"/>
      <c r="D304" s="3"/>
      <c r="E304" s="3"/>
      <c r="F304" s="3"/>
      <c r="G304" s="3"/>
    </row>
    <row r="305" spans="3:7" ht="13" x14ac:dyDescent="0.15">
      <c r="C305" s="3"/>
      <c r="D305" s="3"/>
      <c r="E305" s="3"/>
      <c r="F305" s="3"/>
      <c r="G305" s="3"/>
    </row>
    <row r="306" spans="3:7" ht="13" x14ac:dyDescent="0.15">
      <c r="C306" s="3"/>
      <c r="D306" s="3"/>
      <c r="E306" s="3"/>
      <c r="F306" s="3"/>
      <c r="G306" s="3"/>
    </row>
    <row r="307" spans="3:7" ht="13" x14ac:dyDescent="0.15">
      <c r="C307" s="3"/>
      <c r="D307" s="3"/>
      <c r="E307" s="3"/>
      <c r="F307" s="3"/>
      <c r="G307" s="3"/>
    </row>
    <row r="308" spans="3:7" ht="13" x14ac:dyDescent="0.15">
      <c r="C308" s="3"/>
      <c r="D308" s="3"/>
      <c r="E308" s="3"/>
      <c r="F308" s="3"/>
      <c r="G308" s="3"/>
    </row>
    <row r="309" spans="3:7" ht="13" x14ac:dyDescent="0.15">
      <c r="C309" s="3"/>
      <c r="D309" s="3"/>
      <c r="E309" s="3"/>
      <c r="F309" s="3"/>
      <c r="G309" s="3"/>
    </row>
    <row r="310" spans="3:7" ht="13" x14ac:dyDescent="0.15">
      <c r="C310" s="3"/>
      <c r="D310" s="3"/>
      <c r="E310" s="3"/>
      <c r="F310" s="3"/>
      <c r="G310" s="3"/>
    </row>
    <row r="311" spans="3:7" ht="13" x14ac:dyDescent="0.15">
      <c r="C311" s="3"/>
      <c r="D311" s="3"/>
      <c r="E311" s="3"/>
      <c r="F311" s="3"/>
      <c r="G311" s="3"/>
    </row>
    <row r="312" spans="3:7" ht="13" x14ac:dyDescent="0.15">
      <c r="C312" s="3"/>
      <c r="D312" s="3"/>
      <c r="E312" s="3"/>
      <c r="F312" s="3"/>
      <c r="G312" s="3"/>
    </row>
    <row r="313" spans="3:7" ht="13" x14ac:dyDescent="0.15">
      <c r="C313" s="3"/>
      <c r="D313" s="3"/>
      <c r="E313" s="3"/>
      <c r="F313" s="3"/>
      <c r="G313" s="3"/>
    </row>
    <row r="314" spans="3:7" ht="13" x14ac:dyDescent="0.15">
      <c r="C314" s="3"/>
      <c r="D314" s="3"/>
      <c r="E314" s="3"/>
      <c r="F314" s="3"/>
      <c r="G314" s="3"/>
    </row>
    <row r="315" spans="3:7" ht="13" x14ac:dyDescent="0.15">
      <c r="C315" s="3"/>
      <c r="D315" s="3"/>
      <c r="E315" s="3"/>
      <c r="F315" s="3"/>
      <c r="G315" s="3"/>
    </row>
    <row r="316" spans="3:7" ht="13" x14ac:dyDescent="0.15">
      <c r="C316" s="3"/>
      <c r="D316" s="3"/>
      <c r="E316" s="3"/>
      <c r="F316" s="3"/>
      <c r="G316" s="3"/>
    </row>
    <row r="317" spans="3:7" ht="13" x14ac:dyDescent="0.15">
      <c r="C317" s="3"/>
      <c r="D317" s="3"/>
      <c r="E317" s="3"/>
      <c r="F317" s="3"/>
      <c r="G317" s="3"/>
    </row>
    <row r="318" spans="3:7" ht="13" x14ac:dyDescent="0.15">
      <c r="C318" s="3"/>
      <c r="D318" s="3"/>
      <c r="E318" s="3"/>
      <c r="F318" s="3"/>
      <c r="G318" s="3"/>
    </row>
    <row r="319" spans="3:7" ht="13" x14ac:dyDescent="0.15">
      <c r="C319" s="3"/>
      <c r="D319" s="3"/>
      <c r="E319" s="3"/>
      <c r="F319" s="3"/>
      <c r="G319" s="3"/>
    </row>
    <row r="320" spans="3:7" ht="13" x14ac:dyDescent="0.15">
      <c r="C320" s="3"/>
      <c r="D320" s="3"/>
      <c r="E320" s="3"/>
      <c r="F320" s="3"/>
      <c r="G320" s="3"/>
    </row>
    <row r="321" spans="3:7" ht="13" x14ac:dyDescent="0.15">
      <c r="C321" s="3"/>
      <c r="D321" s="3"/>
      <c r="E321" s="3"/>
      <c r="F321" s="3"/>
      <c r="G321" s="3"/>
    </row>
    <row r="322" spans="3:7" ht="13" x14ac:dyDescent="0.15">
      <c r="C322" s="3"/>
      <c r="D322" s="3"/>
      <c r="E322" s="3"/>
      <c r="F322" s="3"/>
      <c r="G322" s="3"/>
    </row>
    <row r="323" spans="3:7" ht="13" x14ac:dyDescent="0.15">
      <c r="C323" s="3"/>
      <c r="D323" s="3"/>
      <c r="E323" s="3"/>
      <c r="F323" s="3"/>
      <c r="G323" s="3"/>
    </row>
    <row r="324" spans="3:7" ht="13" x14ac:dyDescent="0.15">
      <c r="C324" s="3"/>
      <c r="D324" s="3"/>
      <c r="E324" s="3"/>
      <c r="F324" s="3"/>
      <c r="G324" s="3"/>
    </row>
    <row r="325" spans="3:7" ht="13" x14ac:dyDescent="0.15">
      <c r="C325" s="3"/>
      <c r="D325" s="3"/>
      <c r="E325" s="3"/>
      <c r="F325" s="3"/>
      <c r="G325" s="3"/>
    </row>
    <row r="326" spans="3:7" ht="13" x14ac:dyDescent="0.15">
      <c r="C326" s="3"/>
      <c r="D326" s="3"/>
      <c r="E326" s="3"/>
      <c r="F326" s="3"/>
      <c r="G326" s="3"/>
    </row>
    <row r="327" spans="3:7" ht="13" x14ac:dyDescent="0.15">
      <c r="C327" s="3"/>
      <c r="D327" s="3"/>
      <c r="E327" s="3"/>
      <c r="F327" s="3"/>
      <c r="G327" s="3"/>
    </row>
    <row r="328" spans="3:7" ht="13" x14ac:dyDescent="0.15">
      <c r="C328" s="3"/>
      <c r="D328" s="3"/>
      <c r="E328" s="3"/>
      <c r="F328" s="3"/>
      <c r="G328" s="3"/>
    </row>
    <row r="329" spans="3:7" ht="13" x14ac:dyDescent="0.15">
      <c r="C329" s="3"/>
      <c r="D329" s="3"/>
      <c r="E329" s="3"/>
      <c r="F329" s="3"/>
      <c r="G329" s="3"/>
    </row>
    <row r="330" spans="3:7" ht="13" x14ac:dyDescent="0.15">
      <c r="C330" s="3"/>
      <c r="D330" s="3"/>
      <c r="E330" s="3"/>
      <c r="F330" s="3"/>
      <c r="G330" s="3"/>
    </row>
    <row r="331" spans="3:7" ht="13" x14ac:dyDescent="0.15">
      <c r="C331" s="3"/>
      <c r="D331" s="3"/>
      <c r="E331" s="3"/>
      <c r="F331" s="3"/>
      <c r="G331" s="3"/>
    </row>
    <row r="332" spans="3:7" ht="13" x14ac:dyDescent="0.15">
      <c r="C332" s="3"/>
      <c r="D332" s="3"/>
      <c r="E332" s="3"/>
      <c r="F332" s="3"/>
      <c r="G332" s="3"/>
    </row>
    <row r="333" spans="3:7" ht="13" x14ac:dyDescent="0.15">
      <c r="C333" s="3"/>
      <c r="D333" s="3"/>
      <c r="E333" s="3"/>
      <c r="F333" s="3"/>
      <c r="G333" s="3"/>
    </row>
    <row r="334" spans="3:7" ht="13" x14ac:dyDescent="0.15">
      <c r="C334" s="3"/>
      <c r="D334" s="3"/>
      <c r="E334" s="3"/>
      <c r="F334" s="3"/>
      <c r="G334" s="3"/>
    </row>
    <row r="335" spans="3:7" ht="13" x14ac:dyDescent="0.15">
      <c r="C335" s="3"/>
      <c r="D335" s="3"/>
      <c r="E335" s="3"/>
      <c r="F335" s="3"/>
      <c r="G335" s="3"/>
    </row>
    <row r="336" spans="3:7" ht="13" x14ac:dyDescent="0.15">
      <c r="C336" s="3"/>
      <c r="D336" s="3"/>
      <c r="E336" s="3"/>
      <c r="F336" s="3"/>
      <c r="G336" s="3"/>
    </row>
    <row r="337" spans="3:7" ht="13" x14ac:dyDescent="0.15">
      <c r="C337" s="3"/>
      <c r="D337" s="3"/>
      <c r="E337" s="3"/>
      <c r="F337" s="3"/>
      <c r="G337" s="3"/>
    </row>
    <row r="338" spans="3:7" ht="13" x14ac:dyDescent="0.15">
      <c r="C338" s="3"/>
      <c r="D338" s="3"/>
      <c r="E338" s="3"/>
      <c r="F338" s="3"/>
      <c r="G338" s="3"/>
    </row>
    <row r="339" spans="3:7" ht="13" x14ac:dyDescent="0.15">
      <c r="C339" s="3"/>
      <c r="D339" s="3"/>
      <c r="E339" s="3"/>
      <c r="F339" s="3"/>
      <c r="G339" s="3"/>
    </row>
    <row r="340" spans="3:7" ht="13" x14ac:dyDescent="0.15">
      <c r="C340" s="3"/>
      <c r="D340" s="3"/>
      <c r="E340" s="3"/>
      <c r="F340" s="3"/>
      <c r="G340" s="3"/>
    </row>
    <row r="341" spans="3:7" ht="13" x14ac:dyDescent="0.15">
      <c r="C341" s="3"/>
      <c r="D341" s="3"/>
      <c r="E341" s="3"/>
      <c r="F341" s="3"/>
      <c r="G341" s="3"/>
    </row>
    <row r="342" spans="3:7" ht="13" x14ac:dyDescent="0.15">
      <c r="C342" s="3"/>
      <c r="D342" s="3"/>
      <c r="E342" s="3"/>
      <c r="F342" s="3"/>
      <c r="G342" s="3"/>
    </row>
    <row r="343" spans="3:7" ht="13" x14ac:dyDescent="0.15">
      <c r="C343" s="3"/>
      <c r="D343" s="3"/>
      <c r="E343" s="3"/>
      <c r="F343" s="3"/>
      <c r="G343" s="3"/>
    </row>
    <row r="344" spans="3:7" ht="13" x14ac:dyDescent="0.15">
      <c r="C344" s="3"/>
      <c r="D344" s="3"/>
      <c r="E344" s="3"/>
      <c r="F344" s="3"/>
      <c r="G344" s="3"/>
    </row>
    <row r="345" spans="3:7" ht="13" x14ac:dyDescent="0.15">
      <c r="C345" s="3"/>
      <c r="D345" s="3"/>
      <c r="E345" s="3"/>
      <c r="F345" s="3"/>
      <c r="G345" s="3"/>
    </row>
    <row r="346" spans="3:7" ht="13" x14ac:dyDescent="0.15">
      <c r="C346" s="3"/>
      <c r="D346" s="3"/>
      <c r="E346" s="3"/>
      <c r="F346" s="3"/>
      <c r="G346" s="3"/>
    </row>
    <row r="347" spans="3:7" ht="13" x14ac:dyDescent="0.15">
      <c r="C347" s="3"/>
      <c r="D347" s="3"/>
      <c r="E347" s="3"/>
      <c r="F347" s="3"/>
      <c r="G347" s="3"/>
    </row>
    <row r="348" spans="3:7" ht="13" x14ac:dyDescent="0.15">
      <c r="C348" s="3"/>
      <c r="D348" s="3"/>
      <c r="E348" s="3"/>
      <c r="F348" s="3"/>
      <c r="G348" s="3"/>
    </row>
    <row r="349" spans="3:7" ht="13" x14ac:dyDescent="0.15">
      <c r="C349" s="3"/>
      <c r="D349" s="3"/>
      <c r="E349" s="3"/>
      <c r="F349" s="3"/>
      <c r="G349" s="3"/>
    </row>
    <row r="350" spans="3:7" ht="13" x14ac:dyDescent="0.15">
      <c r="C350" s="3"/>
      <c r="D350" s="3"/>
      <c r="E350" s="3"/>
      <c r="F350" s="3"/>
      <c r="G350" s="3"/>
    </row>
    <row r="351" spans="3:7" ht="13" x14ac:dyDescent="0.15">
      <c r="C351" s="3"/>
      <c r="D351" s="3"/>
      <c r="E351" s="3"/>
      <c r="F351" s="3"/>
      <c r="G351" s="3"/>
    </row>
    <row r="352" spans="3:7" ht="13" x14ac:dyDescent="0.15">
      <c r="C352" s="3"/>
      <c r="D352" s="3"/>
      <c r="E352" s="3"/>
      <c r="F352" s="3"/>
      <c r="G352" s="3"/>
    </row>
    <row r="353" spans="3:7" ht="13" x14ac:dyDescent="0.15">
      <c r="C353" s="3"/>
      <c r="D353" s="3"/>
      <c r="E353" s="3"/>
      <c r="F353" s="3"/>
      <c r="G353" s="3"/>
    </row>
    <row r="354" spans="3:7" ht="13" x14ac:dyDescent="0.15">
      <c r="C354" s="3"/>
      <c r="D354" s="3"/>
      <c r="E354" s="3"/>
      <c r="F354" s="3"/>
      <c r="G354" s="3"/>
    </row>
    <row r="355" spans="3:7" ht="13" x14ac:dyDescent="0.15">
      <c r="C355" s="3"/>
      <c r="D355" s="3"/>
      <c r="E355" s="3"/>
      <c r="F355" s="3"/>
      <c r="G355" s="3"/>
    </row>
    <row r="356" spans="3:7" ht="13" x14ac:dyDescent="0.15">
      <c r="C356" s="3"/>
      <c r="D356" s="3"/>
      <c r="E356" s="3"/>
      <c r="F356" s="3"/>
      <c r="G356" s="3"/>
    </row>
    <row r="357" spans="3:7" ht="13" x14ac:dyDescent="0.15">
      <c r="C357" s="3"/>
      <c r="D357" s="3"/>
      <c r="E357" s="3"/>
      <c r="F357" s="3"/>
      <c r="G357" s="3"/>
    </row>
    <row r="358" spans="3:7" ht="13" x14ac:dyDescent="0.15">
      <c r="C358" s="3"/>
      <c r="D358" s="3"/>
      <c r="E358" s="3"/>
      <c r="F358" s="3"/>
      <c r="G358" s="3"/>
    </row>
    <row r="359" spans="3:7" ht="13" x14ac:dyDescent="0.15">
      <c r="C359" s="3"/>
      <c r="D359" s="3"/>
      <c r="E359" s="3"/>
      <c r="F359" s="3"/>
      <c r="G359" s="3"/>
    </row>
    <row r="360" spans="3:7" ht="13" x14ac:dyDescent="0.15">
      <c r="C360" s="3"/>
      <c r="D360" s="3"/>
      <c r="E360" s="3"/>
      <c r="F360" s="3"/>
      <c r="G360" s="3"/>
    </row>
    <row r="361" spans="3:7" ht="13" x14ac:dyDescent="0.15">
      <c r="C361" s="3"/>
      <c r="D361" s="3"/>
      <c r="E361" s="3"/>
      <c r="F361" s="3"/>
      <c r="G361" s="3"/>
    </row>
    <row r="362" spans="3:7" ht="13" x14ac:dyDescent="0.15">
      <c r="C362" s="3"/>
      <c r="D362" s="3"/>
      <c r="E362" s="3"/>
      <c r="F362" s="3"/>
      <c r="G362" s="3"/>
    </row>
    <row r="363" spans="3:7" ht="13" x14ac:dyDescent="0.15">
      <c r="C363" s="3"/>
      <c r="D363" s="3"/>
      <c r="E363" s="3"/>
      <c r="F363" s="3"/>
      <c r="G363" s="3"/>
    </row>
    <row r="364" spans="3:7" ht="13" x14ac:dyDescent="0.15">
      <c r="C364" s="3"/>
      <c r="D364" s="3"/>
      <c r="E364" s="3"/>
      <c r="F364" s="3"/>
      <c r="G364" s="3"/>
    </row>
    <row r="365" spans="3:7" ht="13" x14ac:dyDescent="0.15">
      <c r="C365" s="3"/>
      <c r="D365" s="3"/>
      <c r="E365" s="3"/>
      <c r="F365" s="3"/>
      <c r="G365" s="3"/>
    </row>
    <row r="366" spans="3:7" ht="13" x14ac:dyDescent="0.15">
      <c r="C366" s="3"/>
      <c r="D366" s="3"/>
      <c r="E366" s="3"/>
      <c r="F366" s="3"/>
      <c r="G366" s="3"/>
    </row>
    <row r="367" spans="3:7" ht="13" x14ac:dyDescent="0.15">
      <c r="C367" s="3"/>
      <c r="D367" s="3"/>
      <c r="E367" s="3"/>
      <c r="F367" s="3"/>
      <c r="G367" s="3"/>
    </row>
    <row r="368" spans="3:7" ht="13" x14ac:dyDescent="0.15">
      <c r="C368" s="3"/>
      <c r="D368" s="3"/>
      <c r="E368" s="3"/>
      <c r="F368" s="3"/>
      <c r="G368" s="3"/>
    </row>
    <row r="369" spans="3:7" ht="13" x14ac:dyDescent="0.15">
      <c r="C369" s="3"/>
      <c r="D369" s="3"/>
      <c r="E369" s="3"/>
      <c r="F369" s="3"/>
      <c r="G369" s="3"/>
    </row>
    <row r="370" spans="3:7" ht="13" x14ac:dyDescent="0.15">
      <c r="C370" s="3"/>
      <c r="D370" s="3"/>
      <c r="E370" s="3"/>
      <c r="F370" s="3"/>
      <c r="G370" s="3"/>
    </row>
    <row r="371" spans="3:7" ht="13" x14ac:dyDescent="0.15">
      <c r="C371" s="3"/>
      <c r="D371" s="3"/>
      <c r="E371" s="3"/>
      <c r="F371" s="3"/>
      <c r="G371" s="3"/>
    </row>
    <row r="372" spans="3:7" ht="13" x14ac:dyDescent="0.15">
      <c r="C372" s="3"/>
      <c r="D372" s="3"/>
      <c r="E372" s="3"/>
      <c r="F372" s="3"/>
      <c r="G372" s="3"/>
    </row>
    <row r="373" spans="3:7" ht="13" x14ac:dyDescent="0.15">
      <c r="C373" s="3"/>
      <c r="D373" s="3"/>
      <c r="E373" s="3"/>
      <c r="F373" s="3"/>
      <c r="G373" s="3"/>
    </row>
    <row r="374" spans="3:7" ht="13" x14ac:dyDescent="0.15">
      <c r="C374" s="3"/>
      <c r="D374" s="3"/>
      <c r="E374" s="3"/>
      <c r="F374" s="3"/>
      <c r="G374" s="3"/>
    </row>
    <row r="375" spans="3:7" ht="13" x14ac:dyDescent="0.15">
      <c r="C375" s="3"/>
      <c r="D375" s="3"/>
      <c r="E375" s="3"/>
      <c r="F375" s="3"/>
      <c r="G375" s="3"/>
    </row>
    <row r="376" spans="3:7" ht="13" x14ac:dyDescent="0.15">
      <c r="C376" s="3"/>
      <c r="D376" s="3"/>
      <c r="E376" s="3"/>
      <c r="F376" s="3"/>
      <c r="G376" s="3"/>
    </row>
    <row r="377" spans="3:7" ht="13" x14ac:dyDescent="0.15">
      <c r="C377" s="3"/>
      <c r="D377" s="3"/>
      <c r="E377" s="3"/>
      <c r="F377" s="3"/>
      <c r="G377" s="3"/>
    </row>
    <row r="378" spans="3:7" ht="13" x14ac:dyDescent="0.15">
      <c r="C378" s="3"/>
      <c r="D378" s="3"/>
      <c r="E378" s="3"/>
      <c r="F378" s="3"/>
      <c r="G378" s="3"/>
    </row>
    <row r="379" spans="3:7" ht="13" x14ac:dyDescent="0.15">
      <c r="C379" s="3"/>
      <c r="D379" s="3"/>
      <c r="E379" s="3"/>
      <c r="F379" s="3"/>
      <c r="G379" s="3"/>
    </row>
    <row r="380" spans="3:7" ht="13" x14ac:dyDescent="0.15">
      <c r="C380" s="3"/>
      <c r="D380" s="3"/>
      <c r="E380" s="3"/>
      <c r="F380" s="3"/>
      <c r="G380" s="3"/>
    </row>
    <row r="381" spans="3:7" ht="13" x14ac:dyDescent="0.15">
      <c r="C381" s="3"/>
      <c r="D381" s="3"/>
      <c r="E381" s="3"/>
      <c r="F381" s="3"/>
      <c r="G381" s="3"/>
    </row>
    <row r="382" spans="3:7" ht="13" x14ac:dyDescent="0.15">
      <c r="C382" s="3"/>
      <c r="D382" s="3"/>
      <c r="E382" s="3"/>
      <c r="F382" s="3"/>
      <c r="G382" s="3"/>
    </row>
    <row r="383" spans="3:7" ht="13" x14ac:dyDescent="0.15">
      <c r="C383" s="3"/>
      <c r="D383" s="3"/>
      <c r="E383" s="3"/>
      <c r="F383" s="3"/>
      <c r="G383" s="3"/>
    </row>
    <row r="384" spans="3:7" ht="13" x14ac:dyDescent="0.15">
      <c r="C384" s="3"/>
      <c r="D384" s="3"/>
      <c r="E384" s="3"/>
      <c r="F384" s="3"/>
      <c r="G384" s="3"/>
    </row>
    <row r="385" spans="3:7" ht="13" x14ac:dyDescent="0.15">
      <c r="C385" s="3"/>
      <c r="D385" s="3"/>
      <c r="E385" s="3"/>
      <c r="F385" s="3"/>
      <c r="G385" s="3"/>
    </row>
    <row r="386" spans="3:7" ht="13" x14ac:dyDescent="0.15">
      <c r="C386" s="3"/>
      <c r="D386" s="3"/>
      <c r="E386" s="3"/>
      <c r="F386" s="3"/>
      <c r="G386" s="3"/>
    </row>
    <row r="387" spans="3:7" ht="13" x14ac:dyDescent="0.15">
      <c r="C387" s="3"/>
      <c r="D387" s="3"/>
      <c r="E387" s="3"/>
      <c r="F387" s="3"/>
      <c r="G387" s="3"/>
    </row>
    <row r="388" spans="3:7" ht="13" x14ac:dyDescent="0.15">
      <c r="C388" s="3"/>
      <c r="D388" s="3"/>
      <c r="E388" s="3"/>
      <c r="F388" s="3"/>
      <c r="G388" s="3"/>
    </row>
    <row r="389" spans="3:7" ht="13" x14ac:dyDescent="0.15">
      <c r="C389" s="3"/>
      <c r="D389" s="3"/>
      <c r="E389" s="3"/>
      <c r="F389" s="3"/>
      <c r="G389" s="3"/>
    </row>
    <row r="390" spans="3:7" ht="13" x14ac:dyDescent="0.15">
      <c r="C390" s="3"/>
      <c r="D390" s="3"/>
      <c r="E390" s="3"/>
      <c r="F390" s="3"/>
      <c r="G390" s="3"/>
    </row>
    <row r="391" spans="3:7" ht="13" x14ac:dyDescent="0.15">
      <c r="C391" s="3"/>
      <c r="D391" s="3"/>
      <c r="E391" s="3"/>
      <c r="F391" s="3"/>
      <c r="G391" s="3"/>
    </row>
    <row r="392" spans="3:7" ht="13" x14ac:dyDescent="0.15">
      <c r="C392" s="3"/>
      <c r="D392" s="3"/>
      <c r="E392" s="3"/>
      <c r="F392" s="3"/>
      <c r="G392" s="3"/>
    </row>
    <row r="393" spans="3:7" ht="13" x14ac:dyDescent="0.15">
      <c r="C393" s="3"/>
      <c r="D393" s="3"/>
      <c r="E393" s="3"/>
      <c r="F393" s="3"/>
      <c r="G393" s="3"/>
    </row>
    <row r="394" spans="3:7" ht="13" x14ac:dyDescent="0.15">
      <c r="C394" s="3"/>
      <c r="D394" s="3"/>
      <c r="E394" s="3"/>
      <c r="F394" s="3"/>
      <c r="G394" s="3"/>
    </row>
    <row r="395" spans="3:7" ht="13" x14ac:dyDescent="0.15">
      <c r="C395" s="3"/>
      <c r="D395" s="3"/>
      <c r="E395" s="3"/>
      <c r="F395" s="3"/>
      <c r="G395" s="3"/>
    </row>
    <row r="396" spans="3:7" ht="13" x14ac:dyDescent="0.15">
      <c r="C396" s="3"/>
      <c r="D396" s="3"/>
      <c r="E396" s="3"/>
      <c r="F396" s="3"/>
      <c r="G396" s="3"/>
    </row>
    <row r="397" spans="3:7" ht="13" x14ac:dyDescent="0.15">
      <c r="C397" s="3"/>
      <c r="D397" s="3"/>
      <c r="E397" s="3"/>
      <c r="F397" s="3"/>
      <c r="G397" s="3"/>
    </row>
    <row r="398" spans="3:7" ht="13" x14ac:dyDescent="0.15">
      <c r="C398" s="3"/>
      <c r="D398" s="3"/>
      <c r="E398" s="3"/>
      <c r="F398" s="3"/>
      <c r="G398" s="3"/>
    </row>
    <row r="399" spans="3:7" ht="13" x14ac:dyDescent="0.15">
      <c r="C399" s="3"/>
      <c r="D399" s="3"/>
      <c r="E399" s="3"/>
      <c r="F399" s="3"/>
      <c r="G399" s="3"/>
    </row>
    <row r="400" spans="3:7" ht="13" x14ac:dyDescent="0.15">
      <c r="C400" s="3"/>
      <c r="D400" s="3"/>
      <c r="E400" s="3"/>
      <c r="F400" s="3"/>
      <c r="G400" s="3"/>
    </row>
    <row r="401" spans="3:7" ht="13" x14ac:dyDescent="0.15">
      <c r="C401" s="3"/>
      <c r="D401" s="3"/>
      <c r="E401" s="3"/>
      <c r="F401" s="3"/>
      <c r="G401" s="3"/>
    </row>
    <row r="402" spans="3:7" ht="13" x14ac:dyDescent="0.15">
      <c r="C402" s="3"/>
      <c r="D402" s="3"/>
      <c r="E402" s="3"/>
      <c r="F402" s="3"/>
      <c r="G402" s="3"/>
    </row>
    <row r="403" spans="3:7" ht="13" x14ac:dyDescent="0.15">
      <c r="C403" s="3"/>
      <c r="D403" s="3"/>
      <c r="E403" s="3"/>
      <c r="F403" s="3"/>
      <c r="G403" s="3"/>
    </row>
    <row r="404" spans="3:7" ht="13" x14ac:dyDescent="0.15">
      <c r="C404" s="3"/>
      <c r="D404" s="3"/>
      <c r="E404" s="3"/>
      <c r="F404" s="3"/>
      <c r="G404" s="3"/>
    </row>
    <row r="405" spans="3:7" ht="13" x14ac:dyDescent="0.15">
      <c r="C405" s="3"/>
      <c r="D405" s="3"/>
      <c r="E405" s="3"/>
      <c r="F405" s="3"/>
      <c r="G405" s="3"/>
    </row>
    <row r="406" spans="3:7" ht="13" x14ac:dyDescent="0.15">
      <c r="C406" s="3"/>
      <c r="D406" s="3"/>
      <c r="E406" s="3"/>
      <c r="F406" s="3"/>
      <c r="G406" s="3"/>
    </row>
    <row r="407" spans="3:7" ht="13" x14ac:dyDescent="0.15">
      <c r="C407" s="3"/>
      <c r="D407" s="3"/>
      <c r="E407" s="3"/>
      <c r="F407" s="3"/>
      <c r="G407" s="3"/>
    </row>
    <row r="408" spans="3:7" ht="13" x14ac:dyDescent="0.15">
      <c r="C408" s="3"/>
      <c r="D408" s="3"/>
      <c r="E408" s="3"/>
      <c r="F408" s="3"/>
      <c r="G408" s="3"/>
    </row>
    <row r="409" spans="3:7" ht="13" x14ac:dyDescent="0.15">
      <c r="C409" s="3"/>
      <c r="D409" s="3"/>
      <c r="E409" s="3"/>
      <c r="F409" s="3"/>
      <c r="G409" s="3"/>
    </row>
    <row r="410" spans="3:7" ht="13" x14ac:dyDescent="0.15">
      <c r="C410" s="3"/>
      <c r="D410" s="3"/>
      <c r="E410" s="3"/>
      <c r="F410" s="3"/>
      <c r="G410" s="3"/>
    </row>
    <row r="411" spans="3:7" ht="13" x14ac:dyDescent="0.15">
      <c r="C411" s="3"/>
      <c r="D411" s="3"/>
      <c r="E411" s="3"/>
      <c r="F411" s="3"/>
      <c r="G411" s="3"/>
    </row>
    <row r="412" spans="3:7" ht="13" x14ac:dyDescent="0.15">
      <c r="C412" s="3"/>
      <c r="D412" s="3"/>
      <c r="E412" s="3"/>
      <c r="F412" s="3"/>
      <c r="G412" s="3"/>
    </row>
    <row r="413" spans="3:7" ht="13" x14ac:dyDescent="0.15">
      <c r="C413" s="3"/>
      <c r="D413" s="3"/>
      <c r="E413" s="3"/>
      <c r="F413" s="3"/>
      <c r="G413" s="3"/>
    </row>
    <row r="414" spans="3:7" ht="13" x14ac:dyDescent="0.15">
      <c r="C414" s="3"/>
      <c r="D414" s="3"/>
      <c r="E414" s="3"/>
      <c r="F414" s="3"/>
      <c r="G414" s="3"/>
    </row>
    <row r="415" spans="3:7" ht="13" x14ac:dyDescent="0.15">
      <c r="C415" s="3"/>
      <c r="D415" s="3"/>
      <c r="E415" s="3"/>
      <c r="F415" s="3"/>
      <c r="G415" s="3"/>
    </row>
    <row r="416" spans="3:7" ht="13" x14ac:dyDescent="0.15">
      <c r="C416" s="3"/>
      <c r="D416" s="3"/>
      <c r="E416" s="3"/>
      <c r="F416" s="3"/>
      <c r="G416" s="3"/>
    </row>
    <row r="417" spans="3:7" ht="13" x14ac:dyDescent="0.15">
      <c r="C417" s="3"/>
      <c r="D417" s="3"/>
      <c r="E417" s="3"/>
      <c r="F417" s="3"/>
      <c r="G417" s="3"/>
    </row>
    <row r="418" spans="3:7" ht="13" x14ac:dyDescent="0.15">
      <c r="C418" s="3"/>
      <c r="D418" s="3"/>
      <c r="E418" s="3"/>
      <c r="F418" s="3"/>
      <c r="G418" s="3"/>
    </row>
    <row r="419" spans="3:7" ht="13" x14ac:dyDescent="0.15">
      <c r="C419" s="3"/>
      <c r="D419" s="3"/>
      <c r="E419" s="3"/>
      <c r="F419" s="3"/>
      <c r="G419" s="3"/>
    </row>
    <row r="420" spans="3:7" ht="13" x14ac:dyDescent="0.15">
      <c r="C420" s="3"/>
      <c r="D420" s="3"/>
      <c r="E420" s="3"/>
      <c r="F420" s="3"/>
      <c r="G420" s="3"/>
    </row>
    <row r="421" spans="3:7" ht="13" x14ac:dyDescent="0.15">
      <c r="C421" s="3"/>
      <c r="D421" s="3"/>
      <c r="E421" s="3"/>
      <c r="F421" s="3"/>
      <c r="G421" s="3"/>
    </row>
    <row r="422" spans="3:7" ht="13" x14ac:dyDescent="0.15">
      <c r="C422" s="3"/>
      <c r="D422" s="3"/>
      <c r="E422" s="3"/>
      <c r="F422" s="3"/>
      <c r="G422" s="3"/>
    </row>
    <row r="423" spans="3:7" ht="13" x14ac:dyDescent="0.15">
      <c r="C423" s="3"/>
      <c r="D423" s="3"/>
      <c r="E423" s="3"/>
      <c r="F423" s="3"/>
      <c r="G423" s="3"/>
    </row>
    <row r="424" spans="3:7" ht="13" x14ac:dyDescent="0.15">
      <c r="C424" s="3"/>
      <c r="D424" s="3"/>
      <c r="E424" s="3"/>
      <c r="F424" s="3"/>
      <c r="G424" s="3"/>
    </row>
    <row r="425" spans="3:7" ht="13" x14ac:dyDescent="0.15">
      <c r="C425" s="3"/>
      <c r="D425" s="3"/>
      <c r="E425" s="3"/>
      <c r="F425" s="3"/>
      <c r="G425" s="3"/>
    </row>
    <row r="426" spans="3:7" ht="13" x14ac:dyDescent="0.15">
      <c r="C426" s="3"/>
      <c r="D426" s="3"/>
      <c r="E426" s="3"/>
      <c r="F426" s="3"/>
      <c r="G426" s="3"/>
    </row>
    <row r="427" spans="3:7" ht="13" x14ac:dyDescent="0.15">
      <c r="C427" s="3"/>
      <c r="D427" s="3"/>
      <c r="E427" s="3"/>
      <c r="F427" s="3"/>
      <c r="G427" s="3"/>
    </row>
    <row r="428" spans="3:7" ht="13" x14ac:dyDescent="0.15">
      <c r="C428" s="3"/>
      <c r="D428" s="3"/>
      <c r="E428" s="3"/>
      <c r="F428" s="3"/>
      <c r="G428" s="3"/>
    </row>
    <row r="429" spans="3:7" ht="13" x14ac:dyDescent="0.15">
      <c r="C429" s="3"/>
      <c r="D429" s="3"/>
      <c r="E429" s="3"/>
      <c r="F429" s="3"/>
      <c r="G429" s="3"/>
    </row>
    <row r="430" spans="3:7" ht="13" x14ac:dyDescent="0.15">
      <c r="C430" s="3"/>
      <c r="D430" s="3"/>
      <c r="E430" s="3"/>
      <c r="F430" s="3"/>
      <c r="G430" s="3"/>
    </row>
    <row r="431" spans="3:7" ht="13" x14ac:dyDescent="0.15">
      <c r="C431" s="3"/>
      <c r="D431" s="3"/>
      <c r="E431" s="3"/>
      <c r="F431" s="3"/>
      <c r="G431" s="3"/>
    </row>
    <row r="432" spans="3:7" ht="13" x14ac:dyDescent="0.15">
      <c r="C432" s="3"/>
      <c r="D432" s="3"/>
      <c r="E432" s="3"/>
      <c r="F432" s="3"/>
      <c r="G432" s="3"/>
    </row>
    <row r="433" spans="3:7" ht="13" x14ac:dyDescent="0.15">
      <c r="C433" s="3"/>
      <c r="D433" s="3"/>
      <c r="E433" s="3"/>
      <c r="F433" s="3"/>
      <c r="G433" s="3"/>
    </row>
    <row r="434" spans="3:7" ht="13" x14ac:dyDescent="0.15">
      <c r="C434" s="3"/>
      <c r="D434" s="3"/>
      <c r="E434" s="3"/>
      <c r="F434" s="3"/>
      <c r="G434" s="3"/>
    </row>
    <row r="435" spans="3:7" ht="13" x14ac:dyDescent="0.15">
      <c r="C435" s="3"/>
      <c r="D435" s="3"/>
      <c r="E435" s="3"/>
      <c r="F435" s="3"/>
      <c r="G435" s="3"/>
    </row>
    <row r="436" spans="3:7" ht="13" x14ac:dyDescent="0.15">
      <c r="C436" s="3"/>
      <c r="D436" s="3"/>
      <c r="E436" s="3"/>
      <c r="F436" s="3"/>
      <c r="G436" s="3"/>
    </row>
    <row r="437" spans="3:7" ht="13" x14ac:dyDescent="0.15">
      <c r="C437" s="3"/>
      <c r="D437" s="3"/>
      <c r="E437" s="3"/>
      <c r="F437" s="3"/>
      <c r="G437" s="3"/>
    </row>
    <row r="438" spans="3:7" ht="13" x14ac:dyDescent="0.15">
      <c r="C438" s="3"/>
      <c r="D438" s="3"/>
      <c r="E438" s="3"/>
      <c r="F438" s="3"/>
      <c r="G438" s="3"/>
    </row>
    <row r="439" spans="3:7" ht="13" x14ac:dyDescent="0.15">
      <c r="C439" s="3"/>
      <c r="D439" s="3"/>
      <c r="E439" s="3"/>
      <c r="F439" s="3"/>
      <c r="G439" s="3"/>
    </row>
    <row r="440" spans="3:7" ht="13" x14ac:dyDescent="0.15">
      <c r="C440" s="3"/>
      <c r="D440" s="3"/>
      <c r="E440" s="3"/>
      <c r="F440" s="3"/>
      <c r="G440" s="3"/>
    </row>
    <row r="441" spans="3:7" ht="13" x14ac:dyDescent="0.15">
      <c r="C441" s="3"/>
      <c r="D441" s="3"/>
      <c r="E441" s="3"/>
      <c r="F441" s="3"/>
      <c r="G441" s="3"/>
    </row>
    <row r="442" spans="3:7" ht="13" x14ac:dyDescent="0.15">
      <c r="C442" s="3"/>
      <c r="D442" s="3"/>
      <c r="E442" s="3"/>
      <c r="F442" s="3"/>
      <c r="G442" s="3"/>
    </row>
    <row r="443" spans="3:7" ht="13" x14ac:dyDescent="0.15">
      <c r="C443" s="3"/>
      <c r="D443" s="3"/>
      <c r="E443" s="3"/>
      <c r="F443" s="3"/>
      <c r="G443" s="3"/>
    </row>
    <row r="444" spans="3:7" ht="13" x14ac:dyDescent="0.15">
      <c r="C444" s="3"/>
      <c r="D444" s="3"/>
      <c r="E444" s="3"/>
      <c r="F444" s="3"/>
      <c r="G444" s="3"/>
    </row>
    <row r="445" spans="3:7" ht="13" x14ac:dyDescent="0.15">
      <c r="C445" s="3"/>
      <c r="D445" s="3"/>
      <c r="E445" s="3"/>
      <c r="F445" s="3"/>
      <c r="G445" s="3"/>
    </row>
    <row r="446" spans="3:7" ht="13" x14ac:dyDescent="0.15">
      <c r="C446" s="3"/>
      <c r="D446" s="3"/>
      <c r="E446" s="3"/>
      <c r="F446" s="3"/>
      <c r="G446" s="3"/>
    </row>
    <row r="447" spans="3:7" ht="13" x14ac:dyDescent="0.15">
      <c r="C447" s="3"/>
      <c r="D447" s="3"/>
      <c r="E447" s="3"/>
      <c r="F447" s="3"/>
      <c r="G447" s="3"/>
    </row>
    <row r="448" spans="3:7" ht="13" x14ac:dyDescent="0.15">
      <c r="C448" s="3"/>
      <c r="D448" s="3"/>
      <c r="E448" s="3"/>
      <c r="F448" s="3"/>
      <c r="G448" s="3"/>
    </row>
    <row r="449" spans="3:7" ht="13" x14ac:dyDescent="0.15">
      <c r="C449" s="3"/>
      <c r="D449" s="3"/>
      <c r="E449" s="3"/>
      <c r="F449" s="3"/>
      <c r="G449" s="3"/>
    </row>
    <row r="450" spans="3:7" ht="13" x14ac:dyDescent="0.15">
      <c r="C450" s="3"/>
      <c r="D450" s="3"/>
      <c r="E450" s="3"/>
      <c r="F450" s="3"/>
      <c r="G450" s="3"/>
    </row>
    <row r="451" spans="3:7" ht="13" x14ac:dyDescent="0.15">
      <c r="C451" s="3"/>
      <c r="D451" s="3"/>
      <c r="E451" s="3"/>
      <c r="F451" s="3"/>
      <c r="G451" s="3"/>
    </row>
    <row r="452" spans="3:7" ht="13" x14ac:dyDescent="0.15">
      <c r="C452" s="3"/>
      <c r="D452" s="3"/>
      <c r="E452" s="3"/>
      <c r="F452" s="3"/>
      <c r="G452" s="3"/>
    </row>
    <row r="453" spans="3:7" ht="13" x14ac:dyDescent="0.15">
      <c r="C453" s="3"/>
      <c r="D453" s="3"/>
      <c r="E453" s="3"/>
      <c r="F453" s="3"/>
      <c r="G453" s="3"/>
    </row>
    <row r="454" spans="3:7" ht="13" x14ac:dyDescent="0.15">
      <c r="C454" s="3"/>
      <c r="D454" s="3"/>
      <c r="E454" s="3"/>
      <c r="F454" s="3"/>
      <c r="G454" s="3"/>
    </row>
    <row r="455" spans="3:7" ht="13" x14ac:dyDescent="0.15">
      <c r="C455" s="3"/>
      <c r="D455" s="3"/>
      <c r="E455" s="3"/>
      <c r="F455" s="3"/>
      <c r="G455" s="3"/>
    </row>
    <row r="456" spans="3:7" ht="13" x14ac:dyDescent="0.15">
      <c r="C456" s="3"/>
      <c r="D456" s="3"/>
      <c r="E456" s="3"/>
      <c r="F456" s="3"/>
      <c r="G456" s="3"/>
    </row>
    <row r="457" spans="3:7" ht="13" x14ac:dyDescent="0.15">
      <c r="C457" s="3"/>
      <c r="D457" s="3"/>
      <c r="E457" s="3"/>
      <c r="F457" s="3"/>
      <c r="G457" s="3"/>
    </row>
    <row r="458" spans="3:7" ht="13" x14ac:dyDescent="0.15">
      <c r="C458" s="3"/>
      <c r="D458" s="3"/>
      <c r="E458" s="3"/>
      <c r="F458" s="3"/>
      <c r="G458" s="3"/>
    </row>
    <row r="459" spans="3:7" ht="13" x14ac:dyDescent="0.15">
      <c r="C459" s="3"/>
      <c r="D459" s="3"/>
      <c r="E459" s="3"/>
      <c r="F459" s="3"/>
      <c r="G459" s="3"/>
    </row>
    <row r="460" spans="3:7" ht="13" x14ac:dyDescent="0.15">
      <c r="C460" s="3"/>
      <c r="D460" s="3"/>
      <c r="E460" s="3"/>
      <c r="F460" s="3"/>
      <c r="G460" s="3"/>
    </row>
    <row r="461" spans="3:7" ht="13" x14ac:dyDescent="0.15">
      <c r="C461" s="3"/>
      <c r="D461" s="3"/>
      <c r="E461" s="3"/>
      <c r="F461" s="3"/>
      <c r="G461" s="3"/>
    </row>
    <row r="462" spans="3:7" ht="13" x14ac:dyDescent="0.15">
      <c r="C462" s="3"/>
      <c r="D462" s="3"/>
      <c r="E462" s="3"/>
      <c r="F462" s="3"/>
      <c r="G462" s="3"/>
    </row>
    <row r="463" spans="3:7" ht="13" x14ac:dyDescent="0.15">
      <c r="C463" s="3"/>
      <c r="D463" s="3"/>
      <c r="E463" s="3"/>
      <c r="F463" s="3"/>
      <c r="G463" s="3"/>
    </row>
    <row r="464" spans="3:7" ht="13" x14ac:dyDescent="0.15">
      <c r="C464" s="3"/>
      <c r="D464" s="3"/>
      <c r="E464" s="3"/>
      <c r="F464" s="3"/>
      <c r="G464" s="3"/>
    </row>
    <row r="465" spans="3:7" ht="13" x14ac:dyDescent="0.15">
      <c r="C465" s="3"/>
      <c r="D465" s="3"/>
      <c r="E465" s="3"/>
      <c r="F465" s="3"/>
      <c r="G465" s="3"/>
    </row>
    <row r="466" spans="3:7" ht="13" x14ac:dyDescent="0.15">
      <c r="C466" s="3"/>
      <c r="D466" s="3"/>
      <c r="E466" s="3"/>
      <c r="F466" s="3"/>
      <c r="G466" s="3"/>
    </row>
    <row r="467" spans="3:7" ht="13" x14ac:dyDescent="0.15">
      <c r="C467" s="3"/>
      <c r="D467" s="3"/>
      <c r="E467" s="3"/>
      <c r="F467" s="3"/>
      <c r="G467" s="3"/>
    </row>
    <row r="468" spans="3:7" ht="13" x14ac:dyDescent="0.15">
      <c r="C468" s="3"/>
      <c r="D468" s="3"/>
      <c r="E468" s="3"/>
      <c r="F468" s="3"/>
      <c r="G468" s="3"/>
    </row>
    <row r="469" spans="3:7" ht="13" x14ac:dyDescent="0.15">
      <c r="C469" s="3"/>
      <c r="D469" s="3"/>
      <c r="E469" s="3"/>
      <c r="F469" s="3"/>
      <c r="G469" s="3"/>
    </row>
    <row r="470" spans="3:7" ht="13" x14ac:dyDescent="0.15">
      <c r="C470" s="3"/>
      <c r="D470" s="3"/>
      <c r="E470" s="3"/>
      <c r="F470" s="3"/>
      <c r="G470" s="3"/>
    </row>
    <row r="471" spans="3:7" ht="13" x14ac:dyDescent="0.15">
      <c r="C471" s="3"/>
      <c r="D471" s="3"/>
      <c r="E471" s="3"/>
      <c r="F471" s="3"/>
      <c r="G471" s="3"/>
    </row>
    <row r="472" spans="3:7" ht="13" x14ac:dyDescent="0.15">
      <c r="C472" s="3"/>
      <c r="D472" s="3"/>
      <c r="E472" s="3"/>
      <c r="F472" s="3"/>
      <c r="G472" s="3"/>
    </row>
    <row r="473" spans="3:7" ht="13" x14ac:dyDescent="0.15">
      <c r="C473" s="3"/>
      <c r="D473" s="3"/>
      <c r="E473" s="3"/>
      <c r="F473" s="3"/>
      <c r="G473" s="3"/>
    </row>
    <row r="474" spans="3:7" ht="13" x14ac:dyDescent="0.15">
      <c r="C474" s="3"/>
      <c r="D474" s="3"/>
      <c r="E474" s="3"/>
      <c r="F474" s="3"/>
      <c r="G474" s="3"/>
    </row>
    <row r="475" spans="3:7" ht="13" x14ac:dyDescent="0.15">
      <c r="C475" s="3"/>
      <c r="D475" s="3"/>
      <c r="E475" s="3"/>
      <c r="F475" s="3"/>
      <c r="G475" s="3"/>
    </row>
    <row r="476" spans="3:7" ht="13" x14ac:dyDescent="0.15">
      <c r="C476" s="3"/>
      <c r="D476" s="3"/>
      <c r="E476" s="3"/>
      <c r="F476" s="3"/>
      <c r="G476" s="3"/>
    </row>
    <row r="477" spans="3:7" ht="13" x14ac:dyDescent="0.15">
      <c r="C477" s="3"/>
      <c r="D477" s="3"/>
      <c r="E477" s="3"/>
      <c r="F477" s="3"/>
      <c r="G477" s="3"/>
    </row>
    <row r="478" spans="3:7" ht="13" x14ac:dyDescent="0.15">
      <c r="C478" s="3"/>
      <c r="D478" s="3"/>
      <c r="E478" s="3"/>
      <c r="F478" s="3"/>
      <c r="G478" s="3"/>
    </row>
    <row r="479" spans="3:7" ht="13" x14ac:dyDescent="0.15">
      <c r="C479" s="3"/>
      <c r="D479" s="3"/>
      <c r="E479" s="3"/>
      <c r="F479" s="3"/>
      <c r="G479" s="3"/>
    </row>
    <row r="480" spans="3:7" ht="13" x14ac:dyDescent="0.15">
      <c r="C480" s="3"/>
      <c r="D480" s="3"/>
      <c r="E480" s="3"/>
      <c r="F480" s="3"/>
      <c r="G480" s="3"/>
    </row>
    <row r="481" spans="3:7" ht="13" x14ac:dyDescent="0.15">
      <c r="C481" s="3"/>
      <c r="D481" s="3"/>
      <c r="E481" s="3"/>
      <c r="F481" s="3"/>
      <c r="G481" s="3"/>
    </row>
    <row r="482" spans="3:7" ht="13" x14ac:dyDescent="0.15">
      <c r="C482" s="3"/>
      <c r="D482" s="3"/>
      <c r="E482" s="3"/>
      <c r="F482" s="3"/>
      <c r="G482" s="3"/>
    </row>
    <row r="483" spans="3:7" ht="13" x14ac:dyDescent="0.15">
      <c r="C483" s="3"/>
      <c r="D483" s="3"/>
      <c r="E483" s="3"/>
      <c r="F483" s="3"/>
      <c r="G483" s="3"/>
    </row>
    <row r="484" spans="3:7" ht="13" x14ac:dyDescent="0.15">
      <c r="C484" s="3"/>
      <c r="D484" s="3"/>
      <c r="E484" s="3"/>
      <c r="F484" s="3"/>
      <c r="G484" s="3"/>
    </row>
    <row r="485" spans="3:7" ht="13" x14ac:dyDescent="0.15">
      <c r="C485" s="3"/>
      <c r="D485" s="3"/>
      <c r="E485" s="3"/>
      <c r="F485" s="3"/>
      <c r="G485" s="3"/>
    </row>
    <row r="486" spans="3:7" ht="13" x14ac:dyDescent="0.15">
      <c r="C486" s="3"/>
      <c r="D486" s="3"/>
      <c r="E486" s="3"/>
      <c r="F486" s="3"/>
      <c r="G486" s="3"/>
    </row>
    <row r="487" spans="3:7" ht="13" x14ac:dyDescent="0.15">
      <c r="C487" s="3"/>
      <c r="D487" s="3"/>
      <c r="E487" s="3"/>
      <c r="F487" s="3"/>
      <c r="G487" s="3"/>
    </row>
    <row r="488" spans="3:7" ht="13" x14ac:dyDescent="0.15">
      <c r="C488" s="3"/>
      <c r="D488" s="3"/>
      <c r="E488" s="3"/>
      <c r="F488" s="3"/>
      <c r="G488" s="3"/>
    </row>
    <row r="489" spans="3:7" ht="13" x14ac:dyDescent="0.15">
      <c r="C489" s="3"/>
      <c r="D489" s="3"/>
      <c r="E489" s="3"/>
      <c r="F489" s="3"/>
      <c r="G489" s="3"/>
    </row>
    <row r="490" spans="3:7" ht="13" x14ac:dyDescent="0.15">
      <c r="C490" s="3"/>
      <c r="D490" s="3"/>
      <c r="E490" s="3"/>
      <c r="F490" s="3"/>
      <c r="G490" s="3"/>
    </row>
    <row r="491" spans="3:7" ht="13" x14ac:dyDescent="0.15">
      <c r="C491" s="3"/>
      <c r="D491" s="3"/>
      <c r="E491" s="3"/>
      <c r="F491" s="3"/>
      <c r="G491" s="3"/>
    </row>
    <row r="492" spans="3:7" ht="13" x14ac:dyDescent="0.15">
      <c r="C492" s="3"/>
      <c r="D492" s="3"/>
      <c r="E492" s="3"/>
      <c r="F492" s="3"/>
      <c r="G492" s="3"/>
    </row>
    <row r="493" spans="3:7" ht="13" x14ac:dyDescent="0.15">
      <c r="C493" s="3"/>
      <c r="D493" s="3"/>
      <c r="E493" s="3"/>
      <c r="F493" s="3"/>
      <c r="G493" s="3"/>
    </row>
    <row r="494" spans="3:7" ht="13" x14ac:dyDescent="0.15">
      <c r="C494" s="3"/>
      <c r="D494" s="3"/>
      <c r="E494" s="3"/>
      <c r="F494" s="3"/>
      <c r="G494" s="3"/>
    </row>
    <row r="495" spans="3:7" ht="13" x14ac:dyDescent="0.15">
      <c r="C495" s="3"/>
      <c r="D495" s="3"/>
      <c r="E495" s="3"/>
      <c r="F495" s="3"/>
      <c r="G495" s="3"/>
    </row>
    <row r="496" spans="3:7" ht="13" x14ac:dyDescent="0.15">
      <c r="C496" s="3"/>
      <c r="D496" s="3"/>
      <c r="E496" s="3"/>
      <c r="F496" s="3"/>
      <c r="G496" s="3"/>
    </row>
    <row r="497" spans="3:7" ht="13" x14ac:dyDescent="0.15">
      <c r="C497" s="3"/>
      <c r="D497" s="3"/>
      <c r="E497" s="3"/>
      <c r="F497" s="3"/>
      <c r="G497" s="3"/>
    </row>
    <row r="498" spans="3:7" ht="13" x14ac:dyDescent="0.15">
      <c r="C498" s="3"/>
      <c r="D498" s="3"/>
      <c r="E498" s="3"/>
      <c r="F498" s="3"/>
      <c r="G498" s="3"/>
    </row>
    <row r="499" spans="3:7" ht="13" x14ac:dyDescent="0.15">
      <c r="C499" s="3"/>
      <c r="D499" s="3"/>
      <c r="E499" s="3"/>
      <c r="F499" s="3"/>
      <c r="G499" s="3"/>
    </row>
    <row r="500" spans="3:7" ht="13" x14ac:dyDescent="0.15">
      <c r="C500" s="3"/>
      <c r="D500" s="3"/>
      <c r="E500" s="3"/>
      <c r="F500" s="3"/>
      <c r="G500" s="3"/>
    </row>
    <row r="501" spans="3:7" ht="13" x14ac:dyDescent="0.15">
      <c r="C501" s="3"/>
      <c r="D501" s="3"/>
      <c r="E501" s="3"/>
      <c r="F501" s="3"/>
      <c r="G501" s="3"/>
    </row>
    <row r="502" spans="3:7" ht="13" x14ac:dyDescent="0.15">
      <c r="C502" s="3"/>
      <c r="D502" s="3"/>
      <c r="E502" s="3"/>
      <c r="F502" s="3"/>
      <c r="G502" s="3"/>
    </row>
    <row r="503" spans="3:7" ht="13" x14ac:dyDescent="0.15">
      <c r="C503" s="3"/>
      <c r="D503" s="3"/>
      <c r="E503" s="3"/>
      <c r="F503" s="3"/>
      <c r="G503" s="3"/>
    </row>
    <row r="504" spans="3:7" ht="13" x14ac:dyDescent="0.15">
      <c r="C504" s="3"/>
      <c r="D504" s="3"/>
      <c r="E504" s="3"/>
      <c r="F504" s="3"/>
      <c r="G504" s="3"/>
    </row>
    <row r="505" spans="3:7" ht="13" x14ac:dyDescent="0.15">
      <c r="C505" s="3"/>
      <c r="D505" s="3"/>
      <c r="E505" s="3"/>
      <c r="F505" s="3"/>
      <c r="G505" s="3"/>
    </row>
    <row r="506" spans="3:7" ht="13" x14ac:dyDescent="0.15">
      <c r="C506" s="3"/>
      <c r="D506" s="3"/>
      <c r="E506" s="3"/>
      <c r="F506" s="3"/>
      <c r="G506" s="3"/>
    </row>
    <row r="507" spans="3:7" ht="13" x14ac:dyDescent="0.15">
      <c r="C507" s="3"/>
      <c r="D507" s="3"/>
      <c r="E507" s="3"/>
      <c r="F507" s="3"/>
      <c r="G507" s="3"/>
    </row>
    <row r="508" spans="3:7" ht="13" x14ac:dyDescent="0.15">
      <c r="C508" s="3"/>
      <c r="D508" s="3"/>
      <c r="E508" s="3"/>
      <c r="F508" s="3"/>
      <c r="G508" s="3"/>
    </row>
    <row r="509" spans="3:7" ht="13" x14ac:dyDescent="0.15">
      <c r="C509" s="3"/>
      <c r="D509" s="3"/>
      <c r="E509" s="3"/>
      <c r="F509" s="3"/>
      <c r="G509" s="3"/>
    </row>
    <row r="510" spans="3:7" ht="13" x14ac:dyDescent="0.15">
      <c r="C510" s="3"/>
      <c r="D510" s="3"/>
      <c r="E510" s="3"/>
      <c r="F510" s="3"/>
      <c r="G510" s="3"/>
    </row>
    <row r="511" spans="3:7" ht="13" x14ac:dyDescent="0.15">
      <c r="C511" s="3"/>
      <c r="D511" s="3"/>
      <c r="E511" s="3"/>
      <c r="F511" s="3"/>
      <c r="G511" s="3"/>
    </row>
    <row r="512" spans="3:7" ht="13" x14ac:dyDescent="0.15">
      <c r="C512" s="3"/>
      <c r="D512" s="3"/>
      <c r="E512" s="3"/>
      <c r="F512" s="3"/>
      <c r="G512" s="3"/>
    </row>
    <row r="513" spans="3:7" ht="13" x14ac:dyDescent="0.15">
      <c r="C513" s="3"/>
      <c r="D513" s="3"/>
      <c r="E513" s="3"/>
      <c r="F513" s="3"/>
      <c r="G513" s="3"/>
    </row>
    <row r="514" spans="3:7" ht="13" x14ac:dyDescent="0.15">
      <c r="C514" s="3"/>
      <c r="D514" s="3"/>
      <c r="E514" s="3"/>
      <c r="F514" s="3"/>
      <c r="G514" s="3"/>
    </row>
    <row r="515" spans="3:7" ht="13" x14ac:dyDescent="0.15">
      <c r="C515" s="3"/>
      <c r="D515" s="3"/>
      <c r="E515" s="3"/>
      <c r="F515" s="3"/>
      <c r="G515" s="3"/>
    </row>
    <row r="516" spans="3:7" ht="13" x14ac:dyDescent="0.15">
      <c r="C516" s="3"/>
      <c r="D516" s="3"/>
      <c r="E516" s="3"/>
      <c r="F516" s="3"/>
      <c r="G516" s="3"/>
    </row>
    <row r="517" spans="3:7" ht="13" x14ac:dyDescent="0.15">
      <c r="C517" s="3"/>
      <c r="D517" s="3"/>
      <c r="E517" s="3"/>
      <c r="F517" s="3"/>
      <c r="G517" s="3"/>
    </row>
    <row r="518" spans="3:7" ht="13" x14ac:dyDescent="0.15">
      <c r="C518" s="3"/>
      <c r="D518" s="3"/>
      <c r="E518" s="3"/>
      <c r="F518" s="3"/>
      <c r="G518" s="3"/>
    </row>
    <row r="519" spans="3:7" ht="13" x14ac:dyDescent="0.15">
      <c r="C519" s="3"/>
      <c r="D519" s="3"/>
      <c r="E519" s="3"/>
      <c r="F519" s="3"/>
      <c r="G519" s="3"/>
    </row>
    <row r="520" spans="3:7" ht="13" x14ac:dyDescent="0.15">
      <c r="C520" s="3"/>
      <c r="D520" s="3"/>
      <c r="E520" s="3"/>
      <c r="F520" s="3"/>
      <c r="G520" s="3"/>
    </row>
    <row r="521" spans="3:7" ht="13" x14ac:dyDescent="0.15">
      <c r="C521" s="3"/>
      <c r="D521" s="3"/>
      <c r="E521" s="3"/>
      <c r="F521" s="3"/>
      <c r="G521" s="3"/>
    </row>
    <row r="522" spans="3:7" ht="13" x14ac:dyDescent="0.15">
      <c r="C522" s="3"/>
      <c r="D522" s="3"/>
      <c r="E522" s="3"/>
      <c r="F522" s="3"/>
      <c r="G522" s="3"/>
    </row>
    <row r="523" spans="3:7" ht="13" x14ac:dyDescent="0.15">
      <c r="C523" s="3"/>
      <c r="D523" s="3"/>
      <c r="E523" s="3"/>
      <c r="F523" s="3"/>
      <c r="G523" s="3"/>
    </row>
    <row r="524" spans="3:7" ht="13" x14ac:dyDescent="0.15">
      <c r="C524" s="3"/>
      <c r="D524" s="3"/>
      <c r="E524" s="3"/>
      <c r="F524" s="3"/>
      <c r="G524" s="3"/>
    </row>
    <row r="525" spans="3:7" ht="13" x14ac:dyDescent="0.15">
      <c r="C525" s="3"/>
      <c r="D525" s="3"/>
      <c r="E525" s="3"/>
      <c r="F525" s="3"/>
      <c r="G525" s="3"/>
    </row>
    <row r="526" spans="3:7" ht="13" x14ac:dyDescent="0.15">
      <c r="C526" s="3"/>
      <c r="D526" s="3"/>
      <c r="E526" s="3"/>
      <c r="F526" s="3"/>
      <c r="G526" s="3"/>
    </row>
    <row r="527" spans="3:7" ht="13" x14ac:dyDescent="0.15">
      <c r="C527" s="3"/>
      <c r="D527" s="3"/>
      <c r="E527" s="3"/>
      <c r="F527" s="3"/>
      <c r="G527" s="3"/>
    </row>
    <row r="528" spans="3:7" ht="13" x14ac:dyDescent="0.15">
      <c r="C528" s="3"/>
      <c r="D528" s="3"/>
      <c r="E528" s="3"/>
      <c r="F528" s="3"/>
      <c r="G528" s="3"/>
    </row>
    <row r="529" spans="3:7" ht="13" x14ac:dyDescent="0.15">
      <c r="C529" s="3"/>
      <c r="D529" s="3"/>
      <c r="E529" s="3"/>
      <c r="F529" s="3"/>
      <c r="G529" s="3"/>
    </row>
    <row r="530" spans="3:7" ht="13" x14ac:dyDescent="0.15">
      <c r="C530" s="3"/>
      <c r="D530" s="3"/>
      <c r="E530" s="3"/>
      <c r="F530" s="3"/>
      <c r="G530" s="3"/>
    </row>
    <row r="531" spans="3:7" ht="13" x14ac:dyDescent="0.15">
      <c r="C531" s="3"/>
      <c r="D531" s="3"/>
      <c r="E531" s="3"/>
      <c r="F531" s="3"/>
      <c r="G531" s="3"/>
    </row>
    <row r="532" spans="3:7" ht="13" x14ac:dyDescent="0.15">
      <c r="C532" s="3"/>
      <c r="D532" s="3"/>
      <c r="E532" s="3"/>
      <c r="F532" s="3"/>
      <c r="G532" s="3"/>
    </row>
    <row r="533" spans="3:7" ht="13" x14ac:dyDescent="0.15">
      <c r="C533" s="3"/>
      <c r="D533" s="3"/>
      <c r="E533" s="3"/>
      <c r="F533" s="3"/>
      <c r="G533" s="3"/>
    </row>
    <row r="534" spans="3:7" ht="13" x14ac:dyDescent="0.15">
      <c r="C534" s="3"/>
      <c r="D534" s="3"/>
      <c r="E534" s="3"/>
      <c r="F534" s="3"/>
      <c r="G534" s="3"/>
    </row>
    <row r="535" spans="3:7" ht="13" x14ac:dyDescent="0.15">
      <c r="C535" s="3"/>
      <c r="D535" s="3"/>
      <c r="E535" s="3"/>
      <c r="F535" s="3"/>
      <c r="G535" s="3"/>
    </row>
    <row r="536" spans="3:7" ht="13" x14ac:dyDescent="0.15">
      <c r="C536" s="3"/>
      <c r="D536" s="3"/>
      <c r="E536" s="3"/>
      <c r="F536" s="3"/>
      <c r="G536" s="3"/>
    </row>
    <row r="537" spans="3:7" ht="13" x14ac:dyDescent="0.15">
      <c r="C537" s="3"/>
      <c r="D537" s="3"/>
      <c r="E537" s="3"/>
      <c r="F537" s="3"/>
      <c r="G537" s="3"/>
    </row>
    <row r="538" spans="3:7" ht="13" x14ac:dyDescent="0.15">
      <c r="C538" s="3"/>
      <c r="D538" s="3"/>
      <c r="E538" s="3"/>
      <c r="F538" s="3"/>
      <c r="G538" s="3"/>
    </row>
    <row r="539" spans="3:7" ht="13" x14ac:dyDescent="0.15">
      <c r="C539" s="3"/>
      <c r="D539" s="3"/>
      <c r="E539" s="3"/>
      <c r="F539" s="3"/>
      <c r="G539" s="3"/>
    </row>
    <row r="540" spans="3:7" ht="13" x14ac:dyDescent="0.15">
      <c r="C540" s="3"/>
      <c r="D540" s="3"/>
      <c r="E540" s="3"/>
      <c r="F540" s="3"/>
      <c r="G540" s="3"/>
    </row>
    <row r="541" spans="3:7" ht="13" x14ac:dyDescent="0.15">
      <c r="C541" s="3"/>
      <c r="D541" s="3"/>
      <c r="E541" s="3"/>
      <c r="F541" s="3"/>
      <c r="G541" s="3"/>
    </row>
    <row r="542" spans="3:7" ht="13" x14ac:dyDescent="0.15">
      <c r="C542" s="3"/>
      <c r="D542" s="3"/>
      <c r="E542" s="3"/>
      <c r="F542" s="3"/>
      <c r="G542" s="3"/>
    </row>
    <row r="543" spans="3:7" ht="13" x14ac:dyDescent="0.15">
      <c r="C543" s="3"/>
      <c r="D543" s="3"/>
      <c r="E543" s="3"/>
      <c r="F543" s="3"/>
      <c r="G543" s="3"/>
    </row>
    <row r="544" spans="3:7" ht="13" x14ac:dyDescent="0.15">
      <c r="C544" s="3"/>
      <c r="D544" s="3"/>
      <c r="E544" s="3"/>
      <c r="F544" s="3"/>
      <c r="G544" s="3"/>
    </row>
    <row r="545" spans="3:7" ht="13" x14ac:dyDescent="0.15">
      <c r="C545" s="3"/>
      <c r="D545" s="3"/>
      <c r="E545" s="3"/>
      <c r="F545" s="3"/>
      <c r="G545" s="3"/>
    </row>
    <row r="546" spans="3:7" ht="13" x14ac:dyDescent="0.15">
      <c r="C546" s="3"/>
      <c r="D546" s="3"/>
      <c r="E546" s="3"/>
      <c r="F546" s="3"/>
      <c r="G546" s="3"/>
    </row>
    <row r="547" spans="3:7" ht="13" x14ac:dyDescent="0.15">
      <c r="C547" s="3"/>
      <c r="D547" s="3"/>
      <c r="E547" s="3"/>
      <c r="F547" s="3"/>
      <c r="G547" s="3"/>
    </row>
    <row r="548" spans="3:7" ht="13" x14ac:dyDescent="0.15">
      <c r="C548" s="3"/>
      <c r="D548" s="3"/>
      <c r="E548" s="3"/>
      <c r="F548" s="3"/>
      <c r="G548" s="3"/>
    </row>
    <row r="549" spans="3:7" ht="13" x14ac:dyDescent="0.15">
      <c r="C549" s="3"/>
      <c r="D549" s="3"/>
      <c r="E549" s="3"/>
      <c r="F549" s="3"/>
      <c r="G549" s="3"/>
    </row>
    <row r="550" spans="3:7" ht="13" x14ac:dyDescent="0.15">
      <c r="C550" s="3"/>
      <c r="D550" s="3"/>
      <c r="E550" s="3"/>
      <c r="F550" s="3"/>
      <c r="G550" s="3"/>
    </row>
    <row r="551" spans="3:7" ht="13" x14ac:dyDescent="0.15">
      <c r="C551" s="3"/>
      <c r="D551" s="3"/>
      <c r="E551" s="3"/>
      <c r="F551" s="3"/>
      <c r="G551" s="3"/>
    </row>
    <row r="552" spans="3:7" ht="13" x14ac:dyDescent="0.15">
      <c r="C552" s="3"/>
      <c r="D552" s="3"/>
      <c r="E552" s="3"/>
      <c r="F552" s="3"/>
      <c r="G552" s="3"/>
    </row>
    <row r="553" spans="3:7" ht="13" x14ac:dyDescent="0.15">
      <c r="C553" s="3"/>
      <c r="D553" s="3"/>
      <c r="E553" s="3"/>
      <c r="F553" s="3"/>
      <c r="G553" s="3"/>
    </row>
    <row r="554" spans="3:7" ht="13" x14ac:dyDescent="0.15">
      <c r="C554" s="3"/>
      <c r="D554" s="3"/>
      <c r="E554" s="3"/>
      <c r="F554" s="3"/>
      <c r="G554" s="3"/>
    </row>
    <row r="555" spans="3:7" ht="13" x14ac:dyDescent="0.15">
      <c r="C555" s="3"/>
      <c r="D555" s="3"/>
      <c r="E555" s="3"/>
      <c r="F555" s="3"/>
      <c r="G555" s="3"/>
    </row>
    <row r="556" spans="3:7" ht="13" x14ac:dyDescent="0.15">
      <c r="C556" s="3"/>
      <c r="D556" s="3"/>
      <c r="E556" s="3"/>
      <c r="F556" s="3"/>
      <c r="G556" s="3"/>
    </row>
    <row r="557" spans="3:7" ht="13" x14ac:dyDescent="0.15">
      <c r="C557" s="3"/>
      <c r="D557" s="3"/>
      <c r="E557" s="3"/>
      <c r="F557" s="3"/>
      <c r="G557" s="3"/>
    </row>
    <row r="558" spans="3:7" ht="13" x14ac:dyDescent="0.15">
      <c r="C558" s="3"/>
      <c r="D558" s="3"/>
      <c r="E558" s="3"/>
      <c r="F558" s="3"/>
      <c r="G558" s="3"/>
    </row>
    <row r="559" spans="3:7" ht="13" x14ac:dyDescent="0.15">
      <c r="C559" s="3"/>
      <c r="D559" s="3"/>
      <c r="E559" s="3"/>
      <c r="F559" s="3"/>
      <c r="G559" s="3"/>
    </row>
    <row r="560" spans="3:7" ht="13" x14ac:dyDescent="0.15">
      <c r="C560" s="3"/>
      <c r="D560" s="3"/>
      <c r="E560" s="3"/>
      <c r="F560" s="3"/>
      <c r="G560" s="3"/>
    </row>
    <row r="561" spans="3:7" ht="13" x14ac:dyDescent="0.15">
      <c r="C561" s="3"/>
      <c r="D561" s="3"/>
      <c r="E561" s="3"/>
      <c r="F561" s="3"/>
      <c r="G561" s="3"/>
    </row>
    <row r="562" spans="3:7" ht="13" x14ac:dyDescent="0.15">
      <c r="C562" s="3"/>
      <c r="D562" s="3"/>
      <c r="E562" s="3"/>
      <c r="F562" s="3"/>
      <c r="G562" s="3"/>
    </row>
    <row r="563" spans="3:7" ht="13" x14ac:dyDescent="0.15">
      <c r="C563" s="3"/>
      <c r="D563" s="3"/>
      <c r="E563" s="3"/>
      <c r="F563" s="3"/>
      <c r="G563" s="3"/>
    </row>
    <row r="564" spans="3:7" ht="13" x14ac:dyDescent="0.15">
      <c r="C564" s="3"/>
      <c r="D564" s="3"/>
      <c r="E564" s="3"/>
      <c r="F564" s="3"/>
      <c r="G564" s="3"/>
    </row>
    <row r="565" spans="3:7" ht="13" x14ac:dyDescent="0.15">
      <c r="C565" s="3"/>
      <c r="D565" s="3"/>
      <c r="E565" s="3"/>
      <c r="F565" s="3"/>
      <c r="G565" s="3"/>
    </row>
    <row r="566" spans="3:7" ht="13" x14ac:dyDescent="0.15">
      <c r="C566" s="3"/>
      <c r="D566" s="3"/>
      <c r="E566" s="3"/>
      <c r="F566" s="3"/>
      <c r="G566" s="3"/>
    </row>
    <row r="567" spans="3:7" ht="13" x14ac:dyDescent="0.15">
      <c r="C567" s="3"/>
      <c r="D567" s="3"/>
      <c r="E567" s="3"/>
      <c r="F567" s="3"/>
      <c r="G567" s="3"/>
    </row>
    <row r="568" spans="3:7" ht="13" x14ac:dyDescent="0.15">
      <c r="C568" s="3"/>
      <c r="D568" s="3"/>
      <c r="E568" s="3"/>
      <c r="F568" s="3"/>
      <c r="G568" s="3"/>
    </row>
    <row r="569" spans="3:7" ht="13" x14ac:dyDescent="0.15">
      <c r="C569" s="3"/>
      <c r="D569" s="3"/>
      <c r="E569" s="3"/>
      <c r="F569" s="3"/>
      <c r="G569" s="3"/>
    </row>
    <row r="570" spans="3:7" ht="13" x14ac:dyDescent="0.15">
      <c r="C570" s="3"/>
      <c r="D570" s="3"/>
      <c r="E570" s="3"/>
      <c r="F570" s="3"/>
      <c r="G570" s="3"/>
    </row>
    <row r="571" spans="3:7" ht="13" x14ac:dyDescent="0.15">
      <c r="C571" s="3"/>
      <c r="D571" s="3"/>
      <c r="E571" s="3"/>
      <c r="F571" s="3"/>
      <c r="G571" s="3"/>
    </row>
    <row r="572" spans="3:7" ht="13" x14ac:dyDescent="0.15">
      <c r="C572" s="3"/>
      <c r="D572" s="3"/>
      <c r="E572" s="3"/>
      <c r="F572" s="3"/>
      <c r="G572" s="3"/>
    </row>
    <row r="573" spans="3:7" ht="13" x14ac:dyDescent="0.15">
      <c r="C573" s="3"/>
      <c r="D573" s="3"/>
      <c r="E573" s="3"/>
      <c r="F573" s="3"/>
      <c r="G573" s="3"/>
    </row>
    <row r="574" spans="3:7" ht="13" x14ac:dyDescent="0.15">
      <c r="C574" s="3"/>
      <c r="D574" s="3"/>
      <c r="E574" s="3"/>
      <c r="F574" s="3"/>
      <c r="G574" s="3"/>
    </row>
    <row r="575" spans="3:7" ht="13" x14ac:dyDescent="0.15">
      <c r="C575" s="3"/>
      <c r="D575" s="3"/>
      <c r="E575" s="3"/>
      <c r="F575" s="3"/>
      <c r="G575" s="3"/>
    </row>
    <row r="576" spans="3:7" ht="13" x14ac:dyDescent="0.15">
      <c r="C576" s="3"/>
      <c r="D576" s="3"/>
      <c r="E576" s="3"/>
      <c r="F576" s="3"/>
      <c r="G576" s="3"/>
    </row>
    <row r="577" spans="3:7" ht="13" x14ac:dyDescent="0.15">
      <c r="C577" s="3"/>
      <c r="D577" s="3"/>
      <c r="E577" s="3"/>
      <c r="F577" s="3"/>
      <c r="G577" s="3"/>
    </row>
    <row r="578" spans="3:7" ht="13" x14ac:dyDescent="0.15">
      <c r="C578" s="3"/>
      <c r="D578" s="3"/>
      <c r="E578" s="3"/>
      <c r="F578" s="3"/>
      <c r="G578" s="3"/>
    </row>
    <row r="579" spans="3:7" ht="13" x14ac:dyDescent="0.15">
      <c r="C579" s="3"/>
      <c r="D579" s="3"/>
      <c r="E579" s="3"/>
      <c r="F579" s="3"/>
      <c r="G579" s="3"/>
    </row>
    <row r="580" spans="3:7" ht="13" x14ac:dyDescent="0.15">
      <c r="C580" s="3"/>
      <c r="D580" s="3"/>
      <c r="E580" s="3"/>
      <c r="F580" s="3"/>
      <c r="G580" s="3"/>
    </row>
    <row r="581" spans="3:7" ht="13" x14ac:dyDescent="0.15">
      <c r="C581" s="3"/>
      <c r="D581" s="3"/>
      <c r="E581" s="3"/>
      <c r="F581" s="3"/>
      <c r="G581" s="3"/>
    </row>
    <row r="582" spans="3:7" ht="13" x14ac:dyDescent="0.15">
      <c r="C582" s="3"/>
      <c r="D582" s="3"/>
      <c r="E582" s="3"/>
      <c r="F582" s="3"/>
      <c r="G582" s="3"/>
    </row>
    <row r="583" spans="3:7" ht="13" x14ac:dyDescent="0.15">
      <c r="C583" s="3"/>
      <c r="D583" s="3"/>
      <c r="E583" s="3"/>
      <c r="F583" s="3"/>
      <c r="G583" s="3"/>
    </row>
    <row r="584" spans="3:7" ht="13" x14ac:dyDescent="0.15">
      <c r="C584" s="3"/>
      <c r="D584" s="3"/>
      <c r="E584" s="3"/>
      <c r="F584" s="3"/>
      <c r="G584" s="3"/>
    </row>
    <row r="585" spans="3:7" ht="13" x14ac:dyDescent="0.15">
      <c r="C585" s="3"/>
      <c r="D585" s="3"/>
      <c r="E585" s="3"/>
      <c r="F585" s="3"/>
      <c r="G585" s="3"/>
    </row>
    <row r="586" spans="3:7" ht="13" x14ac:dyDescent="0.15">
      <c r="C586" s="3"/>
      <c r="D586" s="3"/>
      <c r="E586" s="3"/>
      <c r="F586" s="3"/>
      <c r="G586" s="3"/>
    </row>
    <row r="587" spans="3:7" ht="13" x14ac:dyDescent="0.15">
      <c r="C587" s="3"/>
      <c r="D587" s="3"/>
      <c r="E587" s="3"/>
      <c r="F587" s="3"/>
      <c r="G587" s="3"/>
    </row>
    <row r="588" spans="3:7" ht="13" x14ac:dyDescent="0.15">
      <c r="C588" s="3"/>
      <c r="D588" s="3"/>
      <c r="E588" s="3"/>
      <c r="F588" s="3"/>
      <c r="G588" s="3"/>
    </row>
    <row r="589" spans="3:7" ht="13" x14ac:dyDescent="0.15">
      <c r="C589" s="3"/>
      <c r="D589" s="3"/>
      <c r="E589" s="3"/>
      <c r="F589" s="3"/>
      <c r="G589" s="3"/>
    </row>
    <row r="590" spans="3:7" ht="13" x14ac:dyDescent="0.15">
      <c r="C590" s="3"/>
      <c r="D590" s="3"/>
      <c r="E590" s="3"/>
      <c r="F590" s="3"/>
      <c r="G590" s="3"/>
    </row>
    <row r="591" spans="3:7" ht="13" x14ac:dyDescent="0.15">
      <c r="C591" s="3"/>
      <c r="D591" s="3"/>
      <c r="E591" s="3"/>
      <c r="F591" s="3"/>
      <c r="G591" s="3"/>
    </row>
    <row r="592" spans="3:7" ht="13" x14ac:dyDescent="0.15">
      <c r="C592" s="3"/>
      <c r="D592" s="3"/>
      <c r="E592" s="3"/>
      <c r="F592" s="3"/>
      <c r="G592" s="3"/>
    </row>
    <row r="593" spans="3:7" ht="13" x14ac:dyDescent="0.15">
      <c r="C593" s="3"/>
      <c r="D593" s="3"/>
      <c r="E593" s="3"/>
      <c r="F593" s="3"/>
      <c r="G593" s="3"/>
    </row>
    <row r="594" spans="3:7" ht="13" x14ac:dyDescent="0.15">
      <c r="C594" s="3"/>
      <c r="D594" s="3"/>
      <c r="E594" s="3"/>
      <c r="F594" s="3"/>
      <c r="G594" s="3"/>
    </row>
    <row r="595" spans="3:7" ht="13" x14ac:dyDescent="0.15">
      <c r="C595" s="3"/>
      <c r="D595" s="3"/>
      <c r="E595" s="3"/>
      <c r="F595" s="3"/>
      <c r="G595" s="3"/>
    </row>
    <row r="596" spans="3:7" ht="13" x14ac:dyDescent="0.15">
      <c r="C596" s="3"/>
      <c r="D596" s="3"/>
      <c r="E596" s="3"/>
      <c r="F596" s="3"/>
      <c r="G596" s="3"/>
    </row>
    <row r="597" spans="3:7" ht="13" x14ac:dyDescent="0.15">
      <c r="C597" s="3"/>
      <c r="D597" s="3"/>
      <c r="E597" s="3"/>
      <c r="F597" s="3"/>
      <c r="G597" s="3"/>
    </row>
    <row r="598" spans="3:7" ht="13" x14ac:dyDescent="0.15">
      <c r="C598" s="3"/>
      <c r="D598" s="3"/>
      <c r="E598" s="3"/>
      <c r="F598" s="3"/>
      <c r="G598" s="3"/>
    </row>
    <row r="599" spans="3:7" ht="13" x14ac:dyDescent="0.15">
      <c r="C599" s="3"/>
      <c r="D599" s="3"/>
      <c r="E599" s="3"/>
      <c r="F599" s="3"/>
      <c r="G599" s="3"/>
    </row>
    <row r="600" spans="3:7" ht="13" x14ac:dyDescent="0.15">
      <c r="C600" s="3"/>
      <c r="D600" s="3"/>
      <c r="E600" s="3"/>
      <c r="F600" s="3"/>
      <c r="G600" s="3"/>
    </row>
    <row r="601" spans="3:7" ht="13" x14ac:dyDescent="0.15">
      <c r="C601" s="3"/>
      <c r="D601" s="3"/>
      <c r="E601" s="3"/>
      <c r="F601" s="3"/>
      <c r="G601" s="3"/>
    </row>
    <row r="602" spans="3:7" ht="13" x14ac:dyDescent="0.15">
      <c r="C602" s="3"/>
      <c r="D602" s="3"/>
      <c r="E602" s="3"/>
      <c r="F602" s="3"/>
      <c r="G602" s="3"/>
    </row>
    <row r="603" spans="3:7" ht="13" x14ac:dyDescent="0.15">
      <c r="C603" s="3"/>
      <c r="D603" s="3"/>
      <c r="E603" s="3"/>
      <c r="F603" s="3"/>
      <c r="G603" s="3"/>
    </row>
    <row r="604" spans="3:7" ht="13" x14ac:dyDescent="0.15">
      <c r="C604" s="3"/>
      <c r="D604" s="3"/>
      <c r="E604" s="3"/>
      <c r="F604" s="3"/>
      <c r="G604" s="3"/>
    </row>
    <row r="605" spans="3:7" ht="13" x14ac:dyDescent="0.15">
      <c r="C605" s="3"/>
      <c r="D605" s="3"/>
      <c r="E605" s="3"/>
      <c r="F605" s="3"/>
      <c r="G605" s="3"/>
    </row>
    <row r="606" spans="3:7" ht="13" x14ac:dyDescent="0.15">
      <c r="C606" s="3"/>
      <c r="D606" s="3"/>
      <c r="E606" s="3"/>
      <c r="F606" s="3"/>
      <c r="G606" s="3"/>
    </row>
    <row r="607" spans="3:7" ht="13" x14ac:dyDescent="0.15">
      <c r="C607" s="3"/>
      <c r="D607" s="3"/>
      <c r="E607" s="3"/>
      <c r="F607" s="3"/>
      <c r="G607" s="3"/>
    </row>
    <row r="608" spans="3:7" ht="13" x14ac:dyDescent="0.15">
      <c r="C608" s="3"/>
      <c r="D608" s="3"/>
      <c r="E608" s="3"/>
      <c r="F608" s="3"/>
      <c r="G608" s="3"/>
    </row>
    <row r="609" spans="3:7" ht="13" x14ac:dyDescent="0.15">
      <c r="C609" s="3"/>
      <c r="D609" s="3"/>
      <c r="E609" s="3"/>
      <c r="F609" s="3"/>
      <c r="G609" s="3"/>
    </row>
    <row r="610" spans="3:7" ht="13" x14ac:dyDescent="0.15">
      <c r="C610" s="3"/>
      <c r="D610" s="3"/>
      <c r="E610" s="3"/>
      <c r="F610" s="3"/>
      <c r="G610" s="3"/>
    </row>
    <row r="611" spans="3:7" ht="13" x14ac:dyDescent="0.15">
      <c r="C611" s="3"/>
      <c r="D611" s="3"/>
      <c r="E611" s="3"/>
      <c r="F611" s="3"/>
      <c r="G611" s="3"/>
    </row>
    <row r="612" spans="3:7" ht="13" x14ac:dyDescent="0.15">
      <c r="C612" s="3"/>
      <c r="D612" s="3"/>
      <c r="E612" s="3"/>
      <c r="F612" s="3"/>
      <c r="G612" s="3"/>
    </row>
    <row r="613" spans="3:7" ht="13" x14ac:dyDescent="0.15">
      <c r="C613" s="3"/>
      <c r="D613" s="3"/>
      <c r="E613" s="3"/>
      <c r="F613" s="3"/>
      <c r="G613" s="3"/>
    </row>
    <row r="614" spans="3:7" ht="13" x14ac:dyDescent="0.15">
      <c r="C614" s="3"/>
      <c r="D614" s="3"/>
      <c r="E614" s="3"/>
      <c r="F614" s="3"/>
      <c r="G614" s="3"/>
    </row>
    <row r="615" spans="3:7" ht="13" x14ac:dyDescent="0.15">
      <c r="C615" s="3"/>
      <c r="D615" s="3"/>
      <c r="E615" s="3"/>
      <c r="F615" s="3"/>
      <c r="G615" s="3"/>
    </row>
    <row r="616" spans="3:7" ht="13" x14ac:dyDescent="0.15">
      <c r="C616" s="3"/>
      <c r="D616" s="3"/>
      <c r="E616" s="3"/>
      <c r="F616" s="3"/>
      <c r="G616" s="3"/>
    </row>
    <row r="617" spans="3:7" ht="13" x14ac:dyDescent="0.15">
      <c r="C617" s="3"/>
      <c r="D617" s="3"/>
      <c r="E617" s="3"/>
      <c r="F617" s="3"/>
      <c r="G617" s="3"/>
    </row>
    <row r="618" spans="3:7" ht="13" x14ac:dyDescent="0.15">
      <c r="C618" s="3"/>
      <c r="D618" s="3"/>
      <c r="E618" s="3"/>
      <c r="F618" s="3"/>
      <c r="G618" s="3"/>
    </row>
    <row r="619" spans="3:7" ht="13" x14ac:dyDescent="0.15">
      <c r="C619" s="3"/>
      <c r="D619" s="3"/>
      <c r="E619" s="3"/>
      <c r="F619" s="3"/>
      <c r="G619" s="3"/>
    </row>
    <row r="620" spans="3:7" ht="13" x14ac:dyDescent="0.15">
      <c r="C620" s="3"/>
      <c r="D620" s="3"/>
      <c r="E620" s="3"/>
      <c r="F620" s="3"/>
      <c r="G620" s="3"/>
    </row>
    <row r="621" spans="3:7" ht="13" x14ac:dyDescent="0.15">
      <c r="C621" s="3"/>
      <c r="D621" s="3"/>
      <c r="E621" s="3"/>
      <c r="F621" s="3"/>
      <c r="G621" s="3"/>
    </row>
    <row r="622" spans="3:7" ht="13" x14ac:dyDescent="0.15">
      <c r="C622" s="3"/>
      <c r="D622" s="3"/>
      <c r="E622" s="3"/>
      <c r="F622" s="3"/>
      <c r="G622" s="3"/>
    </row>
    <row r="623" spans="3:7" ht="13" x14ac:dyDescent="0.15">
      <c r="C623" s="3"/>
      <c r="D623" s="3"/>
      <c r="E623" s="3"/>
      <c r="F623" s="3"/>
      <c r="G623" s="3"/>
    </row>
    <row r="624" spans="3:7" ht="13" x14ac:dyDescent="0.15">
      <c r="C624" s="3"/>
      <c r="D624" s="3"/>
      <c r="E624" s="3"/>
      <c r="F624" s="3"/>
      <c r="G624" s="3"/>
    </row>
    <row r="625" spans="3:7" ht="13" x14ac:dyDescent="0.15">
      <c r="C625" s="3"/>
      <c r="D625" s="3"/>
      <c r="E625" s="3"/>
      <c r="F625" s="3"/>
      <c r="G625" s="3"/>
    </row>
    <row r="626" spans="3:7" ht="13" x14ac:dyDescent="0.15">
      <c r="C626" s="3"/>
      <c r="D626" s="3"/>
      <c r="E626" s="3"/>
      <c r="F626" s="3"/>
      <c r="G626" s="3"/>
    </row>
    <row r="627" spans="3:7" ht="13" x14ac:dyDescent="0.15">
      <c r="C627" s="3"/>
      <c r="D627" s="3"/>
      <c r="E627" s="3"/>
      <c r="F627" s="3"/>
      <c r="G627" s="3"/>
    </row>
    <row r="628" spans="3:7" ht="13" x14ac:dyDescent="0.15">
      <c r="C628" s="3"/>
      <c r="D628" s="3"/>
      <c r="E628" s="3"/>
      <c r="F628" s="3"/>
      <c r="G628" s="3"/>
    </row>
    <row r="629" spans="3:7" ht="13" x14ac:dyDescent="0.15">
      <c r="C629" s="3"/>
      <c r="D629" s="3"/>
      <c r="E629" s="3"/>
      <c r="F629" s="3"/>
      <c r="G629" s="3"/>
    </row>
    <row r="630" spans="3:7" ht="13" x14ac:dyDescent="0.15">
      <c r="C630" s="3"/>
      <c r="D630" s="3"/>
      <c r="E630" s="3"/>
      <c r="F630" s="3"/>
      <c r="G630" s="3"/>
    </row>
    <row r="631" spans="3:7" ht="13" x14ac:dyDescent="0.15">
      <c r="C631" s="3"/>
      <c r="D631" s="3"/>
      <c r="E631" s="3"/>
      <c r="F631" s="3"/>
      <c r="G631" s="3"/>
    </row>
    <row r="632" spans="3:7" ht="13" x14ac:dyDescent="0.15">
      <c r="C632" s="3"/>
      <c r="D632" s="3"/>
      <c r="E632" s="3"/>
      <c r="F632" s="3"/>
      <c r="G632" s="3"/>
    </row>
    <row r="633" spans="3:7" ht="13" x14ac:dyDescent="0.15">
      <c r="C633" s="3"/>
      <c r="D633" s="3"/>
      <c r="E633" s="3"/>
      <c r="F633" s="3"/>
      <c r="G633" s="3"/>
    </row>
    <row r="634" spans="3:7" ht="13" x14ac:dyDescent="0.15">
      <c r="C634" s="3"/>
      <c r="D634" s="3"/>
      <c r="E634" s="3"/>
      <c r="F634" s="3"/>
      <c r="G634" s="3"/>
    </row>
    <row r="635" spans="3:7" ht="13" x14ac:dyDescent="0.15">
      <c r="C635" s="3"/>
      <c r="D635" s="3"/>
      <c r="E635" s="3"/>
      <c r="F635" s="3"/>
      <c r="G635" s="3"/>
    </row>
    <row r="636" spans="3:7" ht="13" x14ac:dyDescent="0.15">
      <c r="C636" s="3"/>
      <c r="D636" s="3"/>
      <c r="E636" s="3"/>
      <c r="F636" s="3"/>
      <c r="G636" s="3"/>
    </row>
    <row r="637" spans="3:7" ht="13" x14ac:dyDescent="0.15">
      <c r="C637" s="3"/>
      <c r="D637" s="3"/>
      <c r="E637" s="3"/>
      <c r="F637" s="3"/>
      <c r="G637" s="3"/>
    </row>
    <row r="638" spans="3:7" ht="13" x14ac:dyDescent="0.15">
      <c r="C638" s="3"/>
      <c r="D638" s="3"/>
      <c r="E638" s="3"/>
      <c r="F638" s="3"/>
      <c r="G638" s="3"/>
    </row>
    <row r="639" spans="3:7" ht="13" x14ac:dyDescent="0.15">
      <c r="C639" s="3"/>
      <c r="D639" s="3"/>
      <c r="E639" s="3"/>
      <c r="F639" s="3"/>
      <c r="G639" s="3"/>
    </row>
    <row r="640" spans="3:7" ht="13" x14ac:dyDescent="0.15">
      <c r="C640" s="3"/>
      <c r="D640" s="3"/>
      <c r="E640" s="3"/>
      <c r="F640" s="3"/>
      <c r="G640" s="3"/>
    </row>
    <row r="641" spans="3:7" ht="13" x14ac:dyDescent="0.15">
      <c r="C641" s="3"/>
      <c r="D641" s="3"/>
      <c r="E641" s="3"/>
      <c r="F641" s="3"/>
      <c r="G641" s="3"/>
    </row>
    <row r="642" spans="3:7" ht="13" x14ac:dyDescent="0.15">
      <c r="C642" s="3"/>
      <c r="D642" s="3"/>
      <c r="E642" s="3"/>
      <c r="F642" s="3"/>
      <c r="G642" s="3"/>
    </row>
    <row r="643" spans="3:7" ht="13" x14ac:dyDescent="0.15">
      <c r="C643" s="3"/>
      <c r="D643" s="3"/>
      <c r="E643" s="3"/>
      <c r="F643" s="3"/>
      <c r="G643" s="3"/>
    </row>
    <row r="644" spans="3:7" ht="13" x14ac:dyDescent="0.15">
      <c r="C644" s="3"/>
      <c r="D644" s="3"/>
      <c r="E644" s="3"/>
      <c r="F644" s="3"/>
      <c r="G644" s="3"/>
    </row>
    <row r="645" spans="3:7" ht="13" x14ac:dyDescent="0.15">
      <c r="C645" s="3"/>
      <c r="D645" s="3"/>
      <c r="E645" s="3"/>
      <c r="F645" s="3"/>
      <c r="G645" s="3"/>
    </row>
    <row r="646" spans="3:7" ht="13" x14ac:dyDescent="0.15">
      <c r="C646" s="3"/>
      <c r="D646" s="3"/>
      <c r="E646" s="3"/>
      <c r="F646" s="3"/>
      <c r="G646" s="3"/>
    </row>
    <row r="647" spans="3:7" ht="13" x14ac:dyDescent="0.15">
      <c r="C647" s="3"/>
      <c r="D647" s="3"/>
      <c r="E647" s="3"/>
      <c r="F647" s="3"/>
      <c r="G647" s="3"/>
    </row>
    <row r="648" spans="3:7" ht="13" x14ac:dyDescent="0.15">
      <c r="C648" s="3"/>
      <c r="D648" s="3"/>
      <c r="E648" s="3"/>
      <c r="F648" s="3"/>
      <c r="G648" s="3"/>
    </row>
    <row r="649" spans="3:7" ht="13" x14ac:dyDescent="0.15">
      <c r="C649" s="3"/>
      <c r="D649" s="3"/>
      <c r="E649" s="3"/>
      <c r="F649" s="3"/>
      <c r="G649" s="3"/>
    </row>
    <row r="650" spans="3:7" ht="13" x14ac:dyDescent="0.15">
      <c r="C650" s="3"/>
      <c r="D650" s="3"/>
      <c r="E650" s="3"/>
      <c r="F650" s="3"/>
      <c r="G650" s="3"/>
    </row>
    <row r="651" spans="3:7" ht="13" x14ac:dyDescent="0.15">
      <c r="C651" s="3"/>
      <c r="D651" s="3"/>
      <c r="E651" s="3"/>
      <c r="F651" s="3"/>
      <c r="G651" s="3"/>
    </row>
    <row r="652" spans="3:7" ht="13" x14ac:dyDescent="0.15">
      <c r="C652" s="3"/>
      <c r="D652" s="3"/>
      <c r="E652" s="3"/>
      <c r="F652" s="3"/>
      <c r="G652" s="3"/>
    </row>
    <row r="653" spans="3:7" ht="13" x14ac:dyDescent="0.15">
      <c r="C653" s="3"/>
      <c r="D653" s="3"/>
      <c r="E653" s="3"/>
      <c r="F653" s="3"/>
      <c r="G653" s="3"/>
    </row>
    <row r="654" spans="3:7" ht="13" x14ac:dyDescent="0.15">
      <c r="C654" s="3"/>
      <c r="D654" s="3"/>
      <c r="E654" s="3"/>
      <c r="F654" s="3"/>
      <c r="G654" s="3"/>
    </row>
    <row r="655" spans="3:7" ht="13" x14ac:dyDescent="0.15">
      <c r="C655" s="3"/>
      <c r="D655" s="3"/>
      <c r="E655" s="3"/>
      <c r="F655" s="3"/>
      <c r="G655" s="3"/>
    </row>
    <row r="656" spans="3:7" ht="13" x14ac:dyDescent="0.15">
      <c r="C656" s="3"/>
      <c r="D656" s="3"/>
      <c r="E656" s="3"/>
      <c r="F656" s="3"/>
      <c r="G656" s="3"/>
    </row>
    <row r="657" spans="3:7" ht="13" x14ac:dyDescent="0.15">
      <c r="C657" s="3"/>
      <c r="D657" s="3"/>
      <c r="E657" s="3"/>
      <c r="F657" s="3"/>
      <c r="G657" s="3"/>
    </row>
    <row r="658" spans="3:7" ht="13" x14ac:dyDescent="0.15">
      <c r="C658" s="3"/>
      <c r="D658" s="3"/>
      <c r="E658" s="3"/>
      <c r="F658" s="3"/>
      <c r="G658" s="3"/>
    </row>
    <row r="659" spans="3:7" ht="13" x14ac:dyDescent="0.15">
      <c r="C659" s="3"/>
      <c r="D659" s="3"/>
      <c r="E659" s="3"/>
      <c r="F659" s="3"/>
      <c r="G659" s="3"/>
    </row>
    <row r="660" spans="3:7" ht="13" x14ac:dyDescent="0.15">
      <c r="C660" s="3"/>
      <c r="D660" s="3"/>
      <c r="E660" s="3"/>
      <c r="F660" s="3"/>
      <c r="G660" s="3"/>
    </row>
    <row r="661" spans="3:7" ht="13" x14ac:dyDescent="0.15">
      <c r="C661" s="3"/>
      <c r="D661" s="3"/>
      <c r="E661" s="3"/>
      <c r="F661" s="3"/>
      <c r="G661" s="3"/>
    </row>
    <row r="662" spans="3:7" ht="13" x14ac:dyDescent="0.15">
      <c r="C662" s="3"/>
      <c r="D662" s="3"/>
      <c r="E662" s="3"/>
      <c r="F662" s="3"/>
      <c r="G662" s="3"/>
    </row>
    <row r="663" spans="3:7" ht="13" x14ac:dyDescent="0.15">
      <c r="C663" s="3"/>
      <c r="D663" s="3"/>
      <c r="E663" s="3"/>
      <c r="F663" s="3"/>
      <c r="G663" s="3"/>
    </row>
    <row r="664" spans="3:7" ht="13" x14ac:dyDescent="0.15">
      <c r="C664" s="3"/>
      <c r="D664" s="3"/>
      <c r="E664" s="3"/>
      <c r="F664" s="3"/>
      <c r="G664" s="3"/>
    </row>
    <row r="665" spans="3:7" ht="13" x14ac:dyDescent="0.15">
      <c r="C665" s="3"/>
      <c r="D665" s="3"/>
      <c r="E665" s="3"/>
      <c r="F665" s="3"/>
      <c r="G665" s="3"/>
    </row>
    <row r="666" spans="3:7" ht="13" x14ac:dyDescent="0.15">
      <c r="C666" s="3"/>
      <c r="D666" s="3"/>
      <c r="E666" s="3"/>
      <c r="F666" s="3"/>
      <c r="G666" s="3"/>
    </row>
    <row r="667" spans="3:7" ht="13" x14ac:dyDescent="0.15">
      <c r="C667" s="3"/>
      <c r="D667" s="3"/>
      <c r="E667" s="3"/>
      <c r="F667" s="3"/>
      <c r="G667" s="3"/>
    </row>
    <row r="668" spans="3:7" ht="13" x14ac:dyDescent="0.15">
      <c r="C668" s="3"/>
      <c r="D668" s="3"/>
      <c r="E668" s="3"/>
      <c r="F668" s="3"/>
      <c r="G668" s="3"/>
    </row>
    <row r="669" spans="3:7" ht="13" x14ac:dyDescent="0.15">
      <c r="C669" s="3"/>
      <c r="D669" s="3"/>
      <c r="E669" s="3"/>
      <c r="F669" s="3"/>
      <c r="G669" s="3"/>
    </row>
    <row r="670" spans="3:7" ht="13" x14ac:dyDescent="0.15">
      <c r="C670" s="3"/>
      <c r="D670" s="3"/>
      <c r="E670" s="3"/>
      <c r="F670" s="3"/>
      <c r="G670" s="3"/>
    </row>
    <row r="671" spans="3:7" ht="13" x14ac:dyDescent="0.15">
      <c r="C671" s="3"/>
      <c r="D671" s="3"/>
      <c r="E671" s="3"/>
      <c r="F671" s="3"/>
      <c r="G671" s="3"/>
    </row>
    <row r="672" spans="3:7" ht="13" x14ac:dyDescent="0.15">
      <c r="C672" s="3"/>
      <c r="D672" s="3"/>
      <c r="E672" s="3"/>
      <c r="F672" s="3"/>
      <c r="G672" s="3"/>
    </row>
    <row r="673" spans="3:7" ht="13" x14ac:dyDescent="0.15">
      <c r="C673" s="3"/>
      <c r="D673" s="3"/>
      <c r="E673" s="3"/>
      <c r="F673" s="3"/>
      <c r="G673" s="3"/>
    </row>
    <row r="674" spans="3:7" ht="13" x14ac:dyDescent="0.15">
      <c r="C674" s="3"/>
      <c r="D674" s="3"/>
      <c r="E674" s="3"/>
      <c r="F674" s="3"/>
      <c r="G674" s="3"/>
    </row>
    <row r="675" spans="3:7" ht="13" x14ac:dyDescent="0.15">
      <c r="C675" s="3"/>
      <c r="D675" s="3"/>
      <c r="E675" s="3"/>
      <c r="F675" s="3"/>
      <c r="G675" s="3"/>
    </row>
    <row r="676" spans="3:7" ht="13" x14ac:dyDescent="0.15">
      <c r="C676" s="3"/>
      <c r="D676" s="3"/>
      <c r="E676" s="3"/>
      <c r="F676" s="3"/>
      <c r="G676" s="3"/>
    </row>
    <row r="677" spans="3:7" ht="13" x14ac:dyDescent="0.15">
      <c r="C677" s="3"/>
      <c r="D677" s="3"/>
      <c r="E677" s="3"/>
      <c r="F677" s="3"/>
      <c r="G677" s="3"/>
    </row>
    <row r="678" spans="3:7" ht="13" x14ac:dyDescent="0.15">
      <c r="C678" s="3"/>
      <c r="D678" s="3"/>
      <c r="E678" s="3"/>
      <c r="F678" s="3"/>
      <c r="G678" s="3"/>
    </row>
    <row r="679" spans="3:7" ht="13" x14ac:dyDescent="0.15">
      <c r="C679" s="3"/>
      <c r="D679" s="3"/>
      <c r="E679" s="3"/>
      <c r="F679" s="3"/>
      <c r="G679" s="3"/>
    </row>
    <row r="680" spans="3:7" ht="13" x14ac:dyDescent="0.15">
      <c r="C680" s="3"/>
      <c r="D680" s="3"/>
      <c r="E680" s="3"/>
      <c r="F680" s="3"/>
      <c r="G680" s="3"/>
    </row>
    <row r="681" spans="3:7" ht="13" x14ac:dyDescent="0.15">
      <c r="C681" s="3"/>
      <c r="D681" s="3"/>
      <c r="E681" s="3"/>
      <c r="F681" s="3"/>
      <c r="G681" s="3"/>
    </row>
    <row r="682" spans="3:7" ht="13" x14ac:dyDescent="0.15">
      <c r="C682" s="3"/>
      <c r="D682" s="3"/>
      <c r="E682" s="3"/>
      <c r="F682" s="3"/>
      <c r="G682" s="3"/>
    </row>
    <row r="683" spans="3:7" ht="13" x14ac:dyDescent="0.15">
      <c r="C683" s="3"/>
      <c r="D683" s="3"/>
      <c r="E683" s="3"/>
      <c r="F683" s="3"/>
      <c r="G683" s="3"/>
    </row>
    <row r="684" spans="3:7" ht="13" x14ac:dyDescent="0.15">
      <c r="C684" s="3"/>
      <c r="D684" s="3"/>
      <c r="E684" s="3"/>
      <c r="F684" s="3"/>
      <c r="G684" s="3"/>
    </row>
    <row r="685" spans="3:7" ht="13" x14ac:dyDescent="0.15">
      <c r="C685" s="3"/>
      <c r="D685" s="3"/>
      <c r="E685" s="3"/>
      <c r="F685" s="3"/>
      <c r="G685" s="3"/>
    </row>
    <row r="686" spans="3:7" ht="13" x14ac:dyDescent="0.15">
      <c r="C686" s="3"/>
      <c r="D686" s="3"/>
      <c r="E686" s="3"/>
      <c r="F686" s="3"/>
      <c r="G686" s="3"/>
    </row>
    <row r="687" spans="3:7" ht="13" x14ac:dyDescent="0.15">
      <c r="C687" s="3"/>
      <c r="D687" s="3"/>
      <c r="E687" s="3"/>
      <c r="F687" s="3"/>
      <c r="G687" s="3"/>
    </row>
    <row r="688" spans="3:7" ht="13" x14ac:dyDescent="0.15">
      <c r="C688" s="3"/>
      <c r="D688" s="3"/>
      <c r="E688" s="3"/>
      <c r="F688" s="3"/>
      <c r="G688" s="3"/>
    </row>
    <row r="689" spans="3:7" ht="13" x14ac:dyDescent="0.15">
      <c r="C689" s="3"/>
      <c r="D689" s="3"/>
      <c r="E689" s="3"/>
      <c r="F689" s="3"/>
      <c r="G689" s="3"/>
    </row>
    <row r="690" spans="3:7" ht="13" x14ac:dyDescent="0.15">
      <c r="C690" s="3"/>
      <c r="D690" s="3"/>
      <c r="E690" s="3"/>
      <c r="F690" s="3"/>
      <c r="G690" s="3"/>
    </row>
    <row r="691" spans="3:7" ht="13" x14ac:dyDescent="0.15">
      <c r="C691" s="3"/>
      <c r="D691" s="3"/>
      <c r="E691" s="3"/>
      <c r="F691" s="3"/>
      <c r="G691" s="3"/>
    </row>
    <row r="692" spans="3:7" ht="13" x14ac:dyDescent="0.15">
      <c r="C692" s="3"/>
      <c r="D692" s="3"/>
      <c r="E692" s="3"/>
      <c r="F692" s="3"/>
      <c r="G692" s="3"/>
    </row>
    <row r="693" spans="3:7" ht="13" x14ac:dyDescent="0.15">
      <c r="C693" s="3"/>
      <c r="D693" s="3"/>
      <c r="E693" s="3"/>
      <c r="F693" s="3"/>
      <c r="G693" s="3"/>
    </row>
    <row r="694" spans="3:7" ht="13" x14ac:dyDescent="0.15">
      <c r="C694" s="3"/>
      <c r="D694" s="3"/>
      <c r="E694" s="3"/>
      <c r="F694" s="3"/>
      <c r="G694" s="3"/>
    </row>
    <row r="695" spans="3:7" ht="13" x14ac:dyDescent="0.15">
      <c r="C695" s="3"/>
      <c r="D695" s="3"/>
      <c r="E695" s="3"/>
      <c r="F695" s="3"/>
      <c r="G695" s="3"/>
    </row>
    <row r="696" spans="3:7" ht="13" x14ac:dyDescent="0.15">
      <c r="C696" s="3"/>
      <c r="D696" s="3"/>
      <c r="E696" s="3"/>
      <c r="F696" s="3"/>
      <c r="G696" s="3"/>
    </row>
    <row r="697" spans="3:7" ht="13" x14ac:dyDescent="0.15">
      <c r="C697" s="3"/>
      <c r="D697" s="3"/>
      <c r="E697" s="3"/>
      <c r="F697" s="3"/>
      <c r="G697" s="3"/>
    </row>
    <row r="698" spans="3:7" ht="13" x14ac:dyDescent="0.15">
      <c r="C698" s="3"/>
      <c r="D698" s="3"/>
      <c r="E698" s="3"/>
      <c r="F698" s="3"/>
      <c r="G698" s="3"/>
    </row>
    <row r="699" spans="3:7" ht="13" x14ac:dyDescent="0.15">
      <c r="C699" s="3"/>
      <c r="D699" s="3"/>
      <c r="E699" s="3"/>
      <c r="F699" s="3"/>
      <c r="G699" s="3"/>
    </row>
    <row r="700" spans="3:7" ht="13" x14ac:dyDescent="0.15">
      <c r="C700" s="3"/>
      <c r="D700" s="3"/>
      <c r="E700" s="3"/>
      <c r="F700" s="3"/>
      <c r="G700" s="3"/>
    </row>
    <row r="701" spans="3:7" ht="13" x14ac:dyDescent="0.15">
      <c r="C701" s="3"/>
      <c r="D701" s="3"/>
      <c r="E701" s="3"/>
      <c r="F701" s="3"/>
      <c r="G701" s="3"/>
    </row>
    <row r="702" spans="3:7" ht="13" x14ac:dyDescent="0.15">
      <c r="C702" s="3"/>
      <c r="D702" s="3"/>
      <c r="E702" s="3"/>
      <c r="F702" s="3"/>
      <c r="G702" s="3"/>
    </row>
    <row r="703" spans="3:7" ht="13" x14ac:dyDescent="0.15">
      <c r="C703" s="3"/>
      <c r="D703" s="3"/>
      <c r="E703" s="3"/>
      <c r="F703" s="3"/>
      <c r="G703" s="3"/>
    </row>
    <row r="704" spans="3:7" ht="13" x14ac:dyDescent="0.15">
      <c r="C704" s="3"/>
      <c r="D704" s="3"/>
      <c r="E704" s="3"/>
      <c r="F704" s="3"/>
      <c r="G704" s="3"/>
    </row>
    <row r="705" spans="3:7" ht="13" x14ac:dyDescent="0.15">
      <c r="C705" s="3"/>
      <c r="D705" s="3"/>
      <c r="E705" s="3"/>
      <c r="F705" s="3"/>
      <c r="G705" s="3"/>
    </row>
    <row r="706" spans="3:7" ht="13" x14ac:dyDescent="0.15">
      <c r="C706" s="3"/>
      <c r="D706" s="3"/>
      <c r="E706" s="3"/>
      <c r="F706" s="3"/>
      <c r="G706" s="3"/>
    </row>
    <row r="707" spans="3:7" ht="13" x14ac:dyDescent="0.15">
      <c r="C707" s="3"/>
      <c r="D707" s="3"/>
      <c r="E707" s="3"/>
      <c r="F707" s="3"/>
      <c r="G707" s="3"/>
    </row>
    <row r="708" spans="3:7" ht="13" x14ac:dyDescent="0.15">
      <c r="C708" s="3"/>
      <c r="D708" s="3"/>
      <c r="E708" s="3"/>
      <c r="F708" s="3"/>
      <c r="G708" s="3"/>
    </row>
    <row r="709" spans="3:7" ht="13" x14ac:dyDescent="0.15">
      <c r="C709" s="3"/>
      <c r="D709" s="3"/>
      <c r="E709" s="3"/>
      <c r="F709" s="3"/>
      <c r="G709" s="3"/>
    </row>
    <row r="710" spans="3:7" ht="13" x14ac:dyDescent="0.15">
      <c r="C710" s="3"/>
      <c r="D710" s="3"/>
      <c r="E710" s="3"/>
      <c r="F710" s="3"/>
      <c r="G710" s="3"/>
    </row>
    <row r="711" spans="3:7" ht="13" x14ac:dyDescent="0.15">
      <c r="C711" s="3"/>
      <c r="D711" s="3"/>
      <c r="E711" s="3"/>
      <c r="F711" s="3"/>
      <c r="G711" s="3"/>
    </row>
    <row r="712" spans="3:7" ht="13" x14ac:dyDescent="0.15">
      <c r="C712" s="3"/>
      <c r="D712" s="3"/>
      <c r="E712" s="3"/>
      <c r="F712" s="3"/>
      <c r="G712" s="3"/>
    </row>
    <row r="713" spans="3:7" ht="13" x14ac:dyDescent="0.15">
      <c r="C713" s="3"/>
      <c r="D713" s="3"/>
      <c r="E713" s="3"/>
      <c r="F713" s="3"/>
      <c r="G713" s="3"/>
    </row>
    <row r="714" spans="3:7" ht="13" x14ac:dyDescent="0.15">
      <c r="C714" s="3"/>
      <c r="D714" s="3"/>
      <c r="E714" s="3"/>
      <c r="F714" s="3"/>
      <c r="G714" s="3"/>
    </row>
    <row r="715" spans="3:7" ht="13" x14ac:dyDescent="0.15">
      <c r="C715" s="3"/>
      <c r="D715" s="3"/>
      <c r="E715" s="3"/>
      <c r="F715" s="3"/>
      <c r="G715" s="3"/>
    </row>
    <row r="716" spans="3:7" ht="13" x14ac:dyDescent="0.15">
      <c r="C716" s="3"/>
      <c r="D716" s="3"/>
      <c r="E716" s="3"/>
      <c r="F716" s="3"/>
      <c r="G716" s="3"/>
    </row>
    <row r="717" spans="3:7" ht="13" x14ac:dyDescent="0.15">
      <c r="C717" s="3"/>
      <c r="D717" s="3"/>
      <c r="E717" s="3"/>
      <c r="F717" s="3"/>
      <c r="G717" s="3"/>
    </row>
    <row r="718" spans="3:7" ht="13" x14ac:dyDescent="0.15">
      <c r="C718" s="3"/>
      <c r="D718" s="3"/>
      <c r="E718" s="3"/>
      <c r="F718" s="3"/>
      <c r="G718" s="3"/>
    </row>
    <row r="719" spans="3:7" ht="13" x14ac:dyDescent="0.15">
      <c r="C719" s="3"/>
      <c r="D719" s="3"/>
      <c r="E719" s="3"/>
      <c r="F719" s="3"/>
      <c r="G719" s="3"/>
    </row>
    <row r="720" spans="3:7" ht="13" x14ac:dyDescent="0.15">
      <c r="C720" s="3"/>
      <c r="D720" s="3"/>
      <c r="E720" s="3"/>
      <c r="F720" s="3"/>
      <c r="G720" s="3"/>
    </row>
    <row r="721" spans="3:7" ht="13" x14ac:dyDescent="0.15">
      <c r="C721" s="3"/>
      <c r="D721" s="3"/>
      <c r="E721" s="3"/>
      <c r="F721" s="3"/>
      <c r="G721" s="3"/>
    </row>
    <row r="722" spans="3:7" ht="13" x14ac:dyDescent="0.15">
      <c r="C722" s="3"/>
      <c r="D722" s="3"/>
      <c r="E722" s="3"/>
      <c r="F722" s="3"/>
      <c r="G722" s="3"/>
    </row>
    <row r="723" spans="3:7" ht="13" x14ac:dyDescent="0.15">
      <c r="C723" s="3"/>
      <c r="D723" s="3"/>
      <c r="E723" s="3"/>
      <c r="F723" s="3"/>
      <c r="G723" s="3"/>
    </row>
    <row r="724" spans="3:7" ht="13" x14ac:dyDescent="0.15">
      <c r="C724" s="3"/>
      <c r="D724" s="3"/>
      <c r="E724" s="3"/>
      <c r="F724" s="3"/>
      <c r="G724" s="3"/>
    </row>
    <row r="725" spans="3:7" ht="13" x14ac:dyDescent="0.15">
      <c r="C725" s="3"/>
      <c r="D725" s="3"/>
      <c r="E725" s="3"/>
      <c r="F725" s="3"/>
      <c r="G725" s="3"/>
    </row>
    <row r="726" spans="3:7" ht="13" x14ac:dyDescent="0.15">
      <c r="C726" s="3"/>
      <c r="D726" s="3"/>
      <c r="E726" s="3"/>
      <c r="F726" s="3"/>
      <c r="G726" s="3"/>
    </row>
    <row r="727" spans="3:7" ht="13" x14ac:dyDescent="0.15">
      <c r="C727" s="3"/>
      <c r="D727" s="3"/>
      <c r="E727" s="3"/>
      <c r="F727" s="3"/>
      <c r="G727" s="3"/>
    </row>
    <row r="728" spans="3:7" ht="13" x14ac:dyDescent="0.15">
      <c r="C728" s="3"/>
      <c r="D728" s="3"/>
      <c r="E728" s="3"/>
      <c r="F728" s="3"/>
      <c r="G728" s="3"/>
    </row>
    <row r="729" spans="3:7" ht="13" x14ac:dyDescent="0.15">
      <c r="C729" s="3"/>
      <c r="D729" s="3"/>
      <c r="E729" s="3"/>
      <c r="F729" s="3"/>
      <c r="G729" s="3"/>
    </row>
    <row r="730" spans="3:7" ht="13" x14ac:dyDescent="0.15">
      <c r="C730" s="3"/>
      <c r="D730" s="3"/>
      <c r="E730" s="3"/>
      <c r="F730" s="3"/>
      <c r="G730" s="3"/>
    </row>
    <row r="731" spans="3:7" ht="13" x14ac:dyDescent="0.15">
      <c r="C731" s="3"/>
      <c r="D731" s="3"/>
      <c r="E731" s="3"/>
      <c r="F731" s="3"/>
      <c r="G731" s="3"/>
    </row>
    <row r="732" spans="3:7" ht="13" x14ac:dyDescent="0.15">
      <c r="C732" s="3"/>
      <c r="D732" s="3"/>
      <c r="E732" s="3"/>
      <c r="F732" s="3"/>
      <c r="G732" s="3"/>
    </row>
    <row r="733" spans="3:7" ht="13" x14ac:dyDescent="0.15">
      <c r="C733" s="3"/>
      <c r="D733" s="3"/>
      <c r="E733" s="3"/>
      <c r="F733" s="3"/>
      <c r="G733" s="3"/>
    </row>
    <row r="734" spans="3:7" ht="13" x14ac:dyDescent="0.15">
      <c r="C734" s="3"/>
      <c r="D734" s="3"/>
      <c r="E734" s="3"/>
      <c r="F734" s="3"/>
      <c r="G734" s="3"/>
    </row>
    <row r="735" spans="3:7" ht="13" x14ac:dyDescent="0.15">
      <c r="C735" s="3"/>
      <c r="D735" s="3"/>
      <c r="E735" s="3"/>
      <c r="F735" s="3"/>
      <c r="G735" s="3"/>
    </row>
    <row r="736" spans="3:7" ht="13" x14ac:dyDescent="0.15">
      <c r="C736" s="3"/>
      <c r="D736" s="3"/>
      <c r="E736" s="3"/>
      <c r="F736" s="3"/>
      <c r="G736" s="3"/>
    </row>
    <row r="737" spans="3:7" ht="13" x14ac:dyDescent="0.15">
      <c r="C737" s="3"/>
      <c r="D737" s="3"/>
      <c r="E737" s="3"/>
      <c r="F737" s="3"/>
      <c r="G737" s="3"/>
    </row>
    <row r="738" spans="3:7" ht="13" x14ac:dyDescent="0.15">
      <c r="C738" s="3"/>
      <c r="D738" s="3"/>
      <c r="E738" s="3"/>
      <c r="F738" s="3"/>
      <c r="G738" s="3"/>
    </row>
    <row r="739" spans="3:7" ht="13" x14ac:dyDescent="0.15">
      <c r="C739" s="3"/>
      <c r="D739" s="3"/>
      <c r="E739" s="3"/>
      <c r="F739" s="3"/>
      <c r="G739" s="3"/>
    </row>
    <row r="740" spans="3:7" ht="13" x14ac:dyDescent="0.15">
      <c r="C740" s="3"/>
      <c r="D740" s="3"/>
      <c r="E740" s="3"/>
      <c r="F740" s="3"/>
      <c r="G740" s="3"/>
    </row>
    <row r="741" spans="3:7" ht="13" x14ac:dyDescent="0.15">
      <c r="C741" s="3"/>
      <c r="D741" s="3"/>
      <c r="E741" s="3"/>
      <c r="F741" s="3"/>
      <c r="G741" s="3"/>
    </row>
    <row r="742" spans="3:7" ht="13" x14ac:dyDescent="0.15">
      <c r="C742" s="3"/>
      <c r="D742" s="3"/>
      <c r="E742" s="3"/>
      <c r="F742" s="3"/>
      <c r="G742" s="3"/>
    </row>
    <row r="743" spans="3:7" ht="13" x14ac:dyDescent="0.15">
      <c r="C743" s="3"/>
      <c r="D743" s="3"/>
      <c r="E743" s="3"/>
      <c r="F743" s="3"/>
      <c r="G743" s="3"/>
    </row>
    <row r="744" spans="3:7" ht="13" x14ac:dyDescent="0.15">
      <c r="C744" s="3"/>
      <c r="D744" s="3"/>
      <c r="E744" s="3"/>
      <c r="F744" s="3"/>
      <c r="G744" s="3"/>
    </row>
    <row r="745" spans="3:7" ht="13" x14ac:dyDescent="0.15">
      <c r="C745" s="3"/>
      <c r="D745" s="3"/>
      <c r="E745" s="3"/>
      <c r="F745" s="3"/>
      <c r="G745" s="3"/>
    </row>
    <row r="746" spans="3:7" ht="13" x14ac:dyDescent="0.15">
      <c r="C746" s="3"/>
      <c r="D746" s="3"/>
      <c r="E746" s="3"/>
      <c r="F746" s="3"/>
      <c r="G746" s="3"/>
    </row>
    <row r="747" spans="3:7" ht="13" x14ac:dyDescent="0.15">
      <c r="C747" s="3"/>
      <c r="D747" s="3"/>
      <c r="E747" s="3"/>
      <c r="F747" s="3"/>
      <c r="G747" s="3"/>
    </row>
    <row r="748" spans="3:7" ht="13" x14ac:dyDescent="0.15">
      <c r="C748" s="3"/>
      <c r="D748" s="3"/>
      <c r="E748" s="3"/>
      <c r="F748" s="3"/>
      <c r="G748" s="3"/>
    </row>
    <row r="749" spans="3:7" ht="13" x14ac:dyDescent="0.15">
      <c r="C749" s="3"/>
      <c r="D749" s="3"/>
      <c r="E749" s="3"/>
      <c r="F749" s="3"/>
      <c r="G749" s="3"/>
    </row>
    <row r="750" spans="3:7" ht="13" x14ac:dyDescent="0.15">
      <c r="C750" s="3"/>
      <c r="D750" s="3"/>
      <c r="E750" s="3"/>
      <c r="F750" s="3"/>
      <c r="G750" s="3"/>
    </row>
    <row r="751" spans="3:7" ht="13" x14ac:dyDescent="0.15">
      <c r="C751" s="3"/>
      <c r="D751" s="3"/>
      <c r="E751" s="3"/>
      <c r="F751" s="3"/>
      <c r="G751" s="3"/>
    </row>
    <row r="752" spans="3:7" ht="13" x14ac:dyDescent="0.15">
      <c r="C752" s="3"/>
      <c r="D752" s="3"/>
      <c r="E752" s="3"/>
      <c r="F752" s="3"/>
      <c r="G752" s="3"/>
    </row>
    <row r="753" spans="3:7" ht="13" x14ac:dyDescent="0.15">
      <c r="C753" s="3"/>
      <c r="D753" s="3"/>
      <c r="E753" s="3"/>
      <c r="F753" s="3"/>
      <c r="G753" s="3"/>
    </row>
    <row r="754" spans="3:7" ht="13" x14ac:dyDescent="0.15">
      <c r="C754" s="3"/>
      <c r="D754" s="3"/>
      <c r="E754" s="3"/>
      <c r="F754" s="3"/>
      <c r="G754" s="3"/>
    </row>
    <row r="755" spans="3:7" ht="13" x14ac:dyDescent="0.15">
      <c r="C755" s="3"/>
      <c r="D755" s="3"/>
      <c r="E755" s="3"/>
      <c r="F755" s="3"/>
      <c r="G755" s="3"/>
    </row>
    <row r="756" spans="3:7" ht="13" x14ac:dyDescent="0.15">
      <c r="C756" s="3"/>
      <c r="D756" s="3"/>
      <c r="E756" s="3"/>
      <c r="F756" s="3"/>
      <c r="G756" s="3"/>
    </row>
    <row r="757" spans="3:7" ht="13" x14ac:dyDescent="0.15">
      <c r="C757" s="3"/>
      <c r="D757" s="3"/>
      <c r="E757" s="3"/>
      <c r="F757" s="3"/>
      <c r="G757" s="3"/>
    </row>
    <row r="758" spans="3:7" ht="13" x14ac:dyDescent="0.15">
      <c r="C758" s="3"/>
      <c r="D758" s="3"/>
      <c r="E758" s="3"/>
      <c r="F758" s="3"/>
      <c r="G758" s="3"/>
    </row>
    <row r="759" spans="3:7" ht="13" x14ac:dyDescent="0.15">
      <c r="C759" s="3"/>
      <c r="D759" s="3"/>
      <c r="E759" s="3"/>
      <c r="F759" s="3"/>
      <c r="G759" s="3"/>
    </row>
    <row r="760" spans="3:7" ht="13" x14ac:dyDescent="0.15">
      <c r="C760" s="3"/>
      <c r="D760" s="3"/>
      <c r="E760" s="3"/>
      <c r="F760" s="3"/>
      <c r="G760" s="3"/>
    </row>
    <row r="761" spans="3:7" ht="13" x14ac:dyDescent="0.15">
      <c r="C761" s="3"/>
      <c r="D761" s="3"/>
      <c r="E761" s="3"/>
      <c r="F761" s="3"/>
      <c r="G761" s="3"/>
    </row>
    <row r="762" spans="3:7" ht="13" x14ac:dyDescent="0.15">
      <c r="C762" s="3"/>
      <c r="D762" s="3"/>
      <c r="E762" s="3"/>
      <c r="F762" s="3"/>
      <c r="G762" s="3"/>
    </row>
    <row r="763" spans="3:7" ht="13" x14ac:dyDescent="0.15">
      <c r="C763" s="3"/>
      <c r="D763" s="3"/>
      <c r="E763" s="3"/>
      <c r="F763" s="3"/>
      <c r="G763" s="3"/>
    </row>
    <row r="764" spans="3:7" ht="13" x14ac:dyDescent="0.15">
      <c r="C764" s="3"/>
      <c r="D764" s="3"/>
      <c r="E764" s="3"/>
      <c r="F764" s="3"/>
      <c r="G764" s="3"/>
    </row>
    <row r="765" spans="3:7" ht="13" x14ac:dyDescent="0.15">
      <c r="C765" s="3"/>
      <c r="D765" s="3"/>
      <c r="E765" s="3"/>
      <c r="F765" s="3"/>
      <c r="G765" s="3"/>
    </row>
    <row r="766" spans="3:7" ht="13" x14ac:dyDescent="0.15">
      <c r="C766" s="3"/>
      <c r="D766" s="3"/>
      <c r="E766" s="3"/>
      <c r="F766" s="3"/>
      <c r="G766" s="3"/>
    </row>
    <row r="767" spans="3:7" ht="13" x14ac:dyDescent="0.15">
      <c r="C767" s="3"/>
      <c r="D767" s="3"/>
      <c r="E767" s="3"/>
      <c r="F767" s="3"/>
      <c r="G767" s="3"/>
    </row>
    <row r="768" spans="3:7" ht="13" x14ac:dyDescent="0.15">
      <c r="C768" s="3"/>
      <c r="D768" s="3"/>
      <c r="E768" s="3"/>
      <c r="F768" s="3"/>
      <c r="G768" s="3"/>
    </row>
    <row r="769" spans="3:7" ht="13" x14ac:dyDescent="0.15">
      <c r="C769" s="3"/>
      <c r="D769" s="3"/>
      <c r="E769" s="3"/>
      <c r="F769" s="3"/>
      <c r="G769" s="3"/>
    </row>
    <row r="770" spans="3:7" ht="13" x14ac:dyDescent="0.15">
      <c r="C770" s="3"/>
      <c r="D770" s="3"/>
      <c r="E770" s="3"/>
      <c r="F770" s="3"/>
      <c r="G770" s="3"/>
    </row>
    <row r="771" spans="3:7" ht="13" x14ac:dyDescent="0.15">
      <c r="C771" s="3"/>
      <c r="D771" s="3"/>
      <c r="E771" s="3"/>
      <c r="F771" s="3"/>
      <c r="G771" s="3"/>
    </row>
    <row r="772" spans="3:7" ht="13" x14ac:dyDescent="0.15">
      <c r="C772" s="3"/>
      <c r="D772" s="3"/>
      <c r="E772" s="3"/>
      <c r="F772" s="3"/>
      <c r="G772" s="3"/>
    </row>
    <row r="773" spans="3:7" ht="13" x14ac:dyDescent="0.15">
      <c r="C773" s="3"/>
      <c r="D773" s="3"/>
      <c r="E773" s="3"/>
      <c r="F773" s="3"/>
      <c r="G773" s="3"/>
    </row>
    <row r="774" spans="3:7" ht="13" x14ac:dyDescent="0.15">
      <c r="C774" s="3"/>
      <c r="D774" s="3"/>
      <c r="E774" s="3"/>
      <c r="F774" s="3"/>
      <c r="G774" s="3"/>
    </row>
    <row r="775" spans="3:7" ht="13" x14ac:dyDescent="0.15">
      <c r="C775" s="3"/>
      <c r="D775" s="3"/>
      <c r="E775" s="3"/>
      <c r="F775" s="3"/>
      <c r="G775" s="3"/>
    </row>
    <row r="776" spans="3:7" ht="13" x14ac:dyDescent="0.15">
      <c r="C776" s="3"/>
      <c r="D776" s="3"/>
      <c r="E776" s="3"/>
      <c r="F776" s="3"/>
      <c r="G776" s="3"/>
    </row>
    <row r="777" spans="3:7" ht="13" x14ac:dyDescent="0.15">
      <c r="C777" s="3"/>
      <c r="D777" s="3"/>
      <c r="E777" s="3"/>
      <c r="F777" s="3"/>
      <c r="G777" s="3"/>
    </row>
    <row r="778" spans="3:7" ht="13" x14ac:dyDescent="0.15">
      <c r="C778" s="3"/>
      <c r="D778" s="3"/>
      <c r="E778" s="3"/>
      <c r="F778" s="3"/>
      <c r="G778" s="3"/>
    </row>
    <row r="779" spans="3:7" ht="13" x14ac:dyDescent="0.15">
      <c r="C779" s="3"/>
      <c r="D779" s="3"/>
      <c r="E779" s="3"/>
      <c r="F779" s="3"/>
      <c r="G779" s="3"/>
    </row>
    <row r="780" spans="3:7" ht="13" x14ac:dyDescent="0.15">
      <c r="C780" s="3"/>
      <c r="D780" s="3"/>
      <c r="E780" s="3"/>
      <c r="F780" s="3"/>
      <c r="G780" s="3"/>
    </row>
    <row r="781" spans="3:7" ht="13" x14ac:dyDescent="0.15">
      <c r="C781" s="3"/>
      <c r="D781" s="3"/>
      <c r="E781" s="3"/>
      <c r="F781" s="3"/>
      <c r="G781" s="3"/>
    </row>
    <row r="782" spans="3:7" ht="13" x14ac:dyDescent="0.15">
      <c r="C782" s="3"/>
      <c r="D782" s="3"/>
      <c r="E782" s="3"/>
      <c r="F782" s="3"/>
      <c r="G782" s="3"/>
    </row>
    <row r="783" spans="3:7" ht="13" x14ac:dyDescent="0.15">
      <c r="C783" s="3"/>
      <c r="D783" s="3"/>
      <c r="E783" s="3"/>
      <c r="F783" s="3"/>
      <c r="G783" s="3"/>
    </row>
    <row r="784" spans="3:7" ht="13" x14ac:dyDescent="0.15">
      <c r="C784" s="3"/>
      <c r="D784" s="3"/>
      <c r="E784" s="3"/>
      <c r="F784" s="3"/>
      <c r="G784" s="3"/>
    </row>
    <row r="785" spans="3:7" ht="13" x14ac:dyDescent="0.15">
      <c r="C785" s="3"/>
      <c r="D785" s="3"/>
      <c r="E785" s="3"/>
      <c r="F785" s="3"/>
      <c r="G785" s="3"/>
    </row>
    <row r="786" spans="3:7" ht="13" x14ac:dyDescent="0.15">
      <c r="C786" s="3"/>
      <c r="D786" s="3"/>
      <c r="E786" s="3"/>
      <c r="F786" s="3"/>
      <c r="G786" s="3"/>
    </row>
    <row r="787" spans="3:7" ht="13" x14ac:dyDescent="0.15">
      <c r="C787" s="3"/>
      <c r="D787" s="3"/>
      <c r="E787" s="3"/>
      <c r="F787" s="3"/>
      <c r="G787" s="3"/>
    </row>
    <row r="788" spans="3:7" ht="13" x14ac:dyDescent="0.15">
      <c r="C788" s="3"/>
      <c r="D788" s="3"/>
      <c r="E788" s="3"/>
      <c r="F788" s="3"/>
      <c r="G788" s="3"/>
    </row>
    <row r="789" spans="3:7" ht="13" x14ac:dyDescent="0.15">
      <c r="C789" s="3"/>
      <c r="D789" s="3"/>
      <c r="E789" s="3"/>
      <c r="F789" s="3"/>
      <c r="G789" s="3"/>
    </row>
    <row r="790" spans="3:7" ht="13" x14ac:dyDescent="0.15">
      <c r="C790" s="3"/>
      <c r="D790" s="3"/>
      <c r="E790" s="3"/>
      <c r="F790" s="3"/>
      <c r="G790" s="3"/>
    </row>
    <row r="791" spans="3:7" ht="13" x14ac:dyDescent="0.15">
      <c r="C791" s="3"/>
      <c r="D791" s="3"/>
      <c r="E791" s="3"/>
      <c r="F791" s="3"/>
      <c r="G791" s="3"/>
    </row>
    <row r="792" spans="3:7" ht="13" x14ac:dyDescent="0.15">
      <c r="C792" s="3"/>
      <c r="D792" s="3"/>
      <c r="E792" s="3"/>
      <c r="F792" s="3"/>
      <c r="G792" s="3"/>
    </row>
    <row r="793" spans="3:7" ht="13" x14ac:dyDescent="0.15">
      <c r="C793" s="3"/>
      <c r="D793" s="3"/>
      <c r="E793" s="3"/>
      <c r="F793" s="3"/>
      <c r="G793" s="3"/>
    </row>
    <row r="794" spans="3:7" ht="13" x14ac:dyDescent="0.15">
      <c r="C794" s="3"/>
      <c r="D794" s="3"/>
      <c r="E794" s="3"/>
      <c r="F794" s="3"/>
      <c r="G794" s="3"/>
    </row>
    <row r="795" spans="3:7" ht="13" x14ac:dyDescent="0.15">
      <c r="C795" s="3"/>
      <c r="D795" s="3"/>
      <c r="E795" s="3"/>
      <c r="F795" s="3"/>
      <c r="G795" s="3"/>
    </row>
    <row r="796" spans="3:7" ht="13" x14ac:dyDescent="0.15">
      <c r="C796" s="3"/>
      <c r="D796" s="3"/>
      <c r="E796" s="3"/>
      <c r="F796" s="3"/>
      <c r="G796" s="3"/>
    </row>
    <row r="797" spans="3:7" ht="13" x14ac:dyDescent="0.15">
      <c r="C797" s="3"/>
      <c r="D797" s="3"/>
      <c r="E797" s="3"/>
      <c r="F797" s="3"/>
      <c r="G797" s="3"/>
    </row>
    <row r="798" spans="3:7" ht="13" x14ac:dyDescent="0.15">
      <c r="C798" s="3"/>
      <c r="D798" s="3"/>
      <c r="E798" s="3"/>
      <c r="F798" s="3"/>
      <c r="G798" s="3"/>
    </row>
    <row r="799" spans="3:7" ht="13" x14ac:dyDescent="0.15">
      <c r="C799" s="3"/>
      <c r="D799" s="3"/>
      <c r="E799" s="3"/>
      <c r="F799" s="3"/>
      <c r="G799" s="3"/>
    </row>
    <row r="800" spans="3:7" ht="13" x14ac:dyDescent="0.15">
      <c r="C800" s="3"/>
      <c r="D800" s="3"/>
      <c r="E800" s="3"/>
      <c r="F800" s="3"/>
      <c r="G800" s="3"/>
    </row>
    <row r="801" spans="3:7" ht="13" x14ac:dyDescent="0.15">
      <c r="C801" s="3"/>
      <c r="D801" s="3"/>
      <c r="E801" s="3"/>
      <c r="F801" s="3"/>
      <c r="G801" s="3"/>
    </row>
    <row r="802" spans="3:7" ht="13" x14ac:dyDescent="0.15">
      <c r="C802" s="3"/>
      <c r="D802" s="3"/>
      <c r="E802" s="3"/>
      <c r="F802" s="3"/>
      <c r="G802" s="3"/>
    </row>
    <row r="803" spans="3:7" ht="13" x14ac:dyDescent="0.15">
      <c r="C803" s="3"/>
      <c r="D803" s="3"/>
      <c r="E803" s="3"/>
      <c r="F803" s="3"/>
      <c r="G803" s="3"/>
    </row>
    <row r="804" spans="3:7" ht="13" x14ac:dyDescent="0.15">
      <c r="C804" s="3"/>
      <c r="D804" s="3"/>
      <c r="E804" s="3"/>
      <c r="F804" s="3"/>
      <c r="G804" s="3"/>
    </row>
    <row r="805" spans="3:7" ht="13" x14ac:dyDescent="0.15">
      <c r="C805" s="3"/>
      <c r="D805" s="3"/>
      <c r="E805" s="3"/>
      <c r="F805" s="3"/>
      <c r="G805" s="3"/>
    </row>
    <row r="806" spans="3:7" ht="13" x14ac:dyDescent="0.15">
      <c r="C806" s="3"/>
      <c r="D806" s="3"/>
      <c r="E806" s="3"/>
      <c r="F806" s="3"/>
      <c r="G806" s="3"/>
    </row>
    <row r="807" spans="3:7" ht="13" x14ac:dyDescent="0.15">
      <c r="C807" s="3"/>
      <c r="D807" s="3"/>
      <c r="E807" s="3"/>
      <c r="F807" s="3"/>
      <c r="G807" s="3"/>
    </row>
    <row r="808" spans="3:7" ht="13" x14ac:dyDescent="0.15">
      <c r="C808" s="3"/>
      <c r="D808" s="3"/>
      <c r="E808" s="3"/>
      <c r="F808" s="3"/>
      <c r="G808" s="3"/>
    </row>
    <row r="809" spans="3:7" ht="13" x14ac:dyDescent="0.15">
      <c r="C809" s="3"/>
      <c r="D809" s="3"/>
      <c r="E809" s="3"/>
      <c r="F809" s="3"/>
      <c r="G809" s="3"/>
    </row>
    <row r="810" spans="3:7" ht="13" x14ac:dyDescent="0.15">
      <c r="C810" s="3"/>
      <c r="D810" s="3"/>
      <c r="E810" s="3"/>
      <c r="F810" s="3"/>
      <c r="G810" s="3"/>
    </row>
    <row r="811" spans="3:7" ht="13" x14ac:dyDescent="0.15">
      <c r="C811" s="3"/>
      <c r="D811" s="3"/>
      <c r="E811" s="3"/>
      <c r="F811" s="3"/>
      <c r="G811" s="3"/>
    </row>
    <row r="812" spans="3:7" ht="13" x14ac:dyDescent="0.15">
      <c r="C812" s="3"/>
      <c r="D812" s="3"/>
      <c r="E812" s="3"/>
      <c r="F812" s="3"/>
      <c r="G812" s="3"/>
    </row>
    <row r="813" spans="3:7" ht="13" x14ac:dyDescent="0.15">
      <c r="C813" s="3"/>
      <c r="D813" s="3"/>
      <c r="E813" s="3"/>
      <c r="F813" s="3"/>
      <c r="G813" s="3"/>
    </row>
    <row r="814" spans="3:7" ht="13" x14ac:dyDescent="0.15">
      <c r="C814" s="3"/>
      <c r="D814" s="3"/>
      <c r="E814" s="3"/>
      <c r="F814" s="3"/>
      <c r="G814" s="3"/>
    </row>
    <row r="815" spans="3:7" ht="13" x14ac:dyDescent="0.15">
      <c r="C815" s="3"/>
      <c r="D815" s="3"/>
      <c r="E815" s="3"/>
      <c r="F815" s="3"/>
      <c r="G815" s="3"/>
    </row>
    <row r="816" spans="3:7" ht="13" x14ac:dyDescent="0.15">
      <c r="C816" s="3"/>
      <c r="D816" s="3"/>
      <c r="E816" s="3"/>
      <c r="F816" s="3"/>
      <c r="G816" s="3"/>
    </row>
    <row r="817" spans="3:7" ht="13" x14ac:dyDescent="0.15">
      <c r="C817" s="3"/>
      <c r="D817" s="3"/>
      <c r="E817" s="3"/>
      <c r="F817" s="3"/>
      <c r="G817" s="3"/>
    </row>
    <row r="818" spans="3:7" ht="13" x14ac:dyDescent="0.15">
      <c r="C818" s="3"/>
      <c r="D818" s="3"/>
      <c r="E818" s="3"/>
      <c r="F818" s="3"/>
      <c r="G818" s="3"/>
    </row>
    <row r="819" spans="3:7" ht="13" x14ac:dyDescent="0.15">
      <c r="C819" s="3"/>
      <c r="D819" s="3"/>
      <c r="E819" s="3"/>
      <c r="F819" s="3"/>
      <c r="G819" s="3"/>
    </row>
    <row r="820" spans="3:7" ht="13" x14ac:dyDescent="0.15">
      <c r="C820" s="3"/>
      <c r="D820" s="3"/>
      <c r="E820" s="3"/>
      <c r="F820" s="3"/>
      <c r="G820" s="3"/>
    </row>
    <row r="821" spans="3:7" ht="13" x14ac:dyDescent="0.15">
      <c r="C821" s="3"/>
      <c r="D821" s="3"/>
      <c r="E821" s="3"/>
      <c r="F821" s="3"/>
      <c r="G821" s="3"/>
    </row>
    <row r="822" spans="3:7" ht="13" x14ac:dyDescent="0.15">
      <c r="C822" s="3"/>
      <c r="D822" s="3"/>
      <c r="E822" s="3"/>
      <c r="F822" s="3"/>
      <c r="G822" s="3"/>
    </row>
    <row r="823" spans="3:7" ht="13" x14ac:dyDescent="0.15">
      <c r="C823" s="3"/>
      <c r="D823" s="3"/>
      <c r="E823" s="3"/>
      <c r="F823" s="3"/>
      <c r="G823" s="3"/>
    </row>
    <row r="824" spans="3:7" ht="13" x14ac:dyDescent="0.15">
      <c r="C824" s="3"/>
      <c r="D824" s="3"/>
      <c r="E824" s="3"/>
      <c r="F824" s="3"/>
      <c r="G824" s="3"/>
    </row>
    <row r="825" spans="3:7" ht="13" x14ac:dyDescent="0.15">
      <c r="C825" s="3"/>
      <c r="D825" s="3"/>
      <c r="E825" s="3"/>
      <c r="F825" s="3"/>
      <c r="G825" s="3"/>
    </row>
    <row r="826" spans="3:7" ht="13" x14ac:dyDescent="0.15">
      <c r="C826" s="3"/>
      <c r="D826" s="3"/>
      <c r="E826" s="3"/>
      <c r="F826" s="3"/>
      <c r="G826" s="3"/>
    </row>
    <row r="827" spans="3:7" ht="13" x14ac:dyDescent="0.15">
      <c r="C827" s="3"/>
      <c r="D827" s="3"/>
      <c r="E827" s="3"/>
      <c r="F827" s="3"/>
      <c r="G827" s="3"/>
    </row>
    <row r="828" spans="3:7" ht="13" x14ac:dyDescent="0.15">
      <c r="C828" s="3"/>
      <c r="D828" s="3"/>
      <c r="E828" s="3"/>
      <c r="F828" s="3"/>
      <c r="G828" s="3"/>
    </row>
    <row r="829" spans="3:7" ht="13" x14ac:dyDescent="0.15">
      <c r="C829" s="3"/>
      <c r="D829" s="3"/>
      <c r="E829" s="3"/>
      <c r="F829" s="3"/>
      <c r="G829" s="3"/>
    </row>
    <row r="830" spans="3:7" ht="13" x14ac:dyDescent="0.15">
      <c r="C830" s="3"/>
      <c r="D830" s="3"/>
      <c r="E830" s="3"/>
      <c r="F830" s="3"/>
      <c r="G830" s="3"/>
    </row>
    <row r="831" spans="3:7" ht="13" x14ac:dyDescent="0.15">
      <c r="C831" s="3"/>
      <c r="D831" s="3"/>
      <c r="E831" s="3"/>
      <c r="F831" s="3"/>
      <c r="G831" s="3"/>
    </row>
    <row r="832" spans="3:7" ht="13" x14ac:dyDescent="0.15">
      <c r="C832" s="3"/>
      <c r="D832" s="3"/>
      <c r="E832" s="3"/>
      <c r="F832" s="3"/>
      <c r="G832" s="3"/>
    </row>
    <row r="833" spans="3:7" ht="13" x14ac:dyDescent="0.15">
      <c r="C833" s="3"/>
      <c r="D833" s="3"/>
      <c r="E833" s="3"/>
      <c r="F833" s="3"/>
      <c r="G833" s="3"/>
    </row>
    <row r="834" spans="3:7" ht="13" x14ac:dyDescent="0.15">
      <c r="C834" s="3"/>
      <c r="D834" s="3"/>
      <c r="E834" s="3"/>
      <c r="F834" s="3"/>
      <c r="G834" s="3"/>
    </row>
    <row r="835" spans="3:7" ht="13" x14ac:dyDescent="0.15">
      <c r="C835" s="3"/>
      <c r="D835" s="3"/>
      <c r="E835" s="3"/>
      <c r="F835" s="3"/>
      <c r="G835" s="3"/>
    </row>
    <row r="836" spans="3:7" ht="13" x14ac:dyDescent="0.15">
      <c r="C836" s="3"/>
      <c r="D836" s="3"/>
      <c r="E836" s="3"/>
      <c r="F836" s="3"/>
      <c r="G836" s="3"/>
    </row>
    <row r="837" spans="3:7" ht="13" x14ac:dyDescent="0.15">
      <c r="C837" s="3"/>
      <c r="D837" s="3"/>
      <c r="E837" s="3"/>
      <c r="F837" s="3"/>
      <c r="G837" s="3"/>
    </row>
    <row r="838" spans="3:7" ht="13" x14ac:dyDescent="0.15">
      <c r="C838" s="3"/>
      <c r="D838" s="3"/>
      <c r="E838" s="3"/>
      <c r="F838" s="3"/>
      <c r="G838" s="3"/>
    </row>
    <row r="839" spans="3:7" ht="13" x14ac:dyDescent="0.15">
      <c r="C839" s="3"/>
      <c r="D839" s="3"/>
      <c r="E839" s="3"/>
      <c r="F839" s="3"/>
      <c r="G839" s="3"/>
    </row>
    <row r="840" spans="3:7" ht="13" x14ac:dyDescent="0.15">
      <c r="C840" s="3"/>
      <c r="D840" s="3"/>
      <c r="E840" s="3"/>
      <c r="F840" s="3"/>
      <c r="G840" s="3"/>
    </row>
    <row r="841" spans="3:7" ht="13" x14ac:dyDescent="0.15">
      <c r="C841" s="3"/>
      <c r="D841" s="3"/>
      <c r="E841" s="3"/>
      <c r="F841" s="3"/>
      <c r="G841" s="3"/>
    </row>
    <row r="842" spans="3:7" ht="13" x14ac:dyDescent="0.15">
      <c r="C842" s="3"/>
      <c r="D842" s="3"/>
      <c r="E842" s="3"/>
      <c r="F842" s="3"/>
      <c r="G842" s="3"/>
    </row>
    <row r="843" spans="3:7" ht="13" x14ac:dyDescent="0.15">
      <c r="C843" s="3"/>
      <c r="D843" s="3"/>
      <c r="E843" s="3"/>
      <c r="F843" s="3"/>
      <c r="G843" s="3"/>
    </row>
    <row r="844" spans="3:7" ht="13" x14ac:dyDescent="0.15">
      <c r="C844" s="3"/>
      <c r="D844" s="3"/>
      <c r="E844" s="3"/>
      <c r="F844" s="3"/>
      <c r="G844" s="3"/>
    </row>
    <row r="845" spans="3:7" ht="13" x14ac:dyDescent="0.15">
      <c r="C845" s="3"/>
      <c r="D845" s="3"/>
      <c r="E845" s="3"/>
      <c r="F845" s="3"/>
      <c r="G845" s="3"/>
    </row>
    <row r="846" spans="3:7" ht="13" x14ac:dyDescent="0.15">
      <c r="C846" s="3"/>
      <c r="D846" s="3"/>
      <c r="E846" s="3"/>
      <c r="F846" s="3"/>
      <c r="G846" s="3"/>
    </row>
    <row r="847" spans="3:7" ht="13" x14ac:dyDescent="0.15">
      <c r="C847" s="3"/>
      <c r="D847" s="3"/>
      <c r="E847" s="3"/>
      <c r="F847" s="3"/>
      <c r="G847" s="3"/>
    </row>
    <row r="848" spans="3:7" ht="13" x14ac:dyDescent="0.15">
      <c r="C848" s="3"/>
      <c r="D848" s="3"/>
      <c r="E848" s="3"/>
      <c r="F848" s="3"/>
      <c r="G848" s="3"/>
    </row>
    <row r="849" spans="3:7" ht="13" x14ac:dyDescent="0.15">
      <c r="C849" s="3"/>
      <c r="D849" s="3"/>
      <c r="E849" s="3"/>
      <c r="F849" s="3"/>
      <c r="G849" s="3"/>
    </row>
    <row r="850" spans="3:7" ht="13" x14ac:dyDescent="0.15">
      <c r="C850" s="3"/>
      <c r="D850" s="3"/>
      <c r="E850" s="3"/>
      <c r="F850" s="3"/>
      <c r="G850" s="3"/>
    </row>
    <row r="851" spans="3:7" ht="13" x14ac:dyDescent="0.15">
      <c r="C851" s="3"/>
      <c r="D851" s="3"/>
      <c r="E851" s="3"/>
      <c r="F851" s="3"/>
      <c r="G851" s="3"/>
    </row>
    <row r="852" spans="3:7" ht="13" x14ac:dyDescent="0.15">
      <c r="C852" s="3"/>
      <c r="D852" s="3"/>
      <c r="E852" s="3"/>
      <c r="F852" s="3"/>
      <c r="G852" s="3"/>
    </row>
    <row r="853" spans="3:7" ht="13" x14ac:dyDescent="0.15">
      <c r="C853" s="3"/>
      <c r="D853" s="3"/>
      <c r="E853" s="3"/>
      <c r="F853" s="3"/>
      <c r="G853" s="3"/>
    </row>
    <row r="854" spans="3:7" ht="13" x14ac:dyDescent="0.15">
      <c r="C854" s="3"/>
      <c r="D854" s="3"/>
      <c r="E854" s="3"/>
      <c r="F854" s="3"/>
      <c r="G854" s="3"/>
    </row>
    <row r="855" spans="3:7" ht="13" x14ac:dyDescent="0.15">
      <c r="C855" s="3"/>
      <c r="D855" s="3"/>
      <c r="E855" s="3"/>
      <c r="F855" s="3"/>
      <c r="G855" s="3"/>
    </row>
    <row r="856" spans="3:7" ht="13" x14ac:dyDescent="0.15">
      <c r="C856" s="3"/>
      <c r="D856" s="3"/>
      <c r="E856" s="3"/>
      <c r="F856" s="3"/>
      <c r="G856" s="3"/>
    </row>
    <row r="857" spans="3:7" ht="13" x14ac:dyDescent="0.15">
      <c r="C857" s="3"/>
      <c r="D857" s="3"/>
      <c r="E857" s="3"/>
      <c r="F857" s="3"/>
      <c r="G857" s="3"/>
    </row>
    <row r="858" spans="3:7" ht="13" x14ac:dyDescent="0.15">
      <c r="C858" s="3"/>
      <c r="D858" s="3"/>
      <c r="E858" s="3"/>
      <c r="F858" s="3"/>
      <c r="G858" s="3"/>
    </row>
    <row r="859" spans="3:7" ht="13" x14ac:dyDescent="0.15">
      <c r="C859" s="3"/>
      <c r="D859" s="3"/>
      <c r="E859" s="3"/>
      <c r="F859" s="3"/>
      <c r="G859" s="3"/>
    </row>
    <row r="860" spans="3:7" ht="13" x14ac:dyDescent="0.15">
      <c r="C860" s="3"/>
      <c r="D860" s="3"/>
      <c r="E860" s="3"/>
      <c r="F860" s="3"/>
      <c r="G860" s="3"/>
    </row>
    <row r="861" spans="3:7" ht="13" x14ac:dyDescent="0.15">
      <c r="C861" s="3"/>
      <c r="D861" s="3"/>
      <c r="E861" s="3"/>
      <c r="F861" s="3"/>
      <c r="G861" s="3"/>
    </row>
    <row r="862" spans="3:7" ht="13" x14ac:dyDescent="0.15">
      <c r="C862" s="3"/>
      <c r="D862" s="3"/>
      <c r="E862" s="3"/>
      <c r="F862" s="3"/>
      <c r="G862" s="3"/>
    </row>
    <row r="863" spans="3:7" ht="13" x14ac:dyDescent="0.15">
      <c r="C863" s="3"/>
      <c r="D863" s="3"/>
      <c r="E863" s="3"/>
      <c r="F863" s="3"/>
      <c r="G863" s="3"/>
    </row>
    <row r="864" spans="3:7" ht="13" x14ac:dyDescent="0.15">
      <c r="C864" s="3"/>
      <c r="D864" s="3"/>
      <c r="E864" s="3"/>
      <c r="F864" s="3"/>
      <c r="G864" s="3"/>
    </row>
    <row r="865" spans="3:7" ht="13" x14ac:dyDescent="0.15">
      <c r="C865" s="3"/>
      <c r="D865" s="3"/>
      <c r="E865" s="3"/>
      <c r="F865" s="3"/>
      <c r="G865" s="3"/>
    </row>
    <row r="866" spans="3:7" ht="13" x14ac:dyDescent="0.15">
      <c r="C866" s="3"/>
      <c r="D866" s="3"/>
      <c r="E866" s="3"/>
      <c r="F866" s="3"/>
      <c r="G866" s="3"/>
    </row>
    <row r="867" spans="3:7" ht="13" x14ac:dyDescent="0.15">
      <c r="C867" s="3"/>
      <c r="D867" s="3"/>
      <c r="E867" s="3"/>
      <c r="F867" s="3"/>
      <c r="G867" s="3"/>
    </row>
    <row r="868" spans="3:7" ht="13" x14ac:dyDescent="0.15">
      <c r="C868" s="3"/>
      <c r="D868" s="3"/>
      <c r="E868" s="3"/>
      <c r="F868" s="3"/>
      <c r="G868" s="3"/>
    </row>
    <row r="869" spans="3:7" ht="13" x14ac:dyDescent="0.15">
      <c r="C869" s="3"/>
      <c r="D869" s="3"/>
      <c r="E869" s="3"/>
      <c r="F869" s="3"/>
      <c r="G869" s="3"/>
    </row>
    <row r="870" spans="3:7" ht="13" x14ac:dyDescent="0.15">
      <c r="C870" s="3"/>
      <c r="D870" s="3"/>
      <c r="E870" s="3"/>
      <c r="F870" s="3"/>
      <c r="G870" s="3"/>
    </row>
    <row r="871" spans="3:7" ht="13" x14ac:dyDescent="0.15">
      <c r="C871" s="3"/>
      <c r="D871" s="3"/>
      <c r="E871" s="3"/>
      <c r="F871" s="3"/>
      <c r="G871" s="3"/>
    </row>
    <row r="872" spans="3:7" ht="13" x14ac:dyDescent="0.15">
      <c r="C872" s="3"/>
      <c r="D872" s="3"/>
      <c r="E872" s="3"/>
      <c r="F872" s="3"/>
      <c r="G872" s="3"/>
    </row>
    <row r="873" spans="3:7" ht="13" x14ac:dyDescent="0.15">
      <c r="C873" s="3"/>
      <c r="D873" s="3"/>
      <c r="E873" s="3"/>
      <c r="F873" s="3"/>
      <c r="G873" s="3"/>
    </row>
    <row r="874" spans="3:7" ht="13" x14ac:dyDescent="0.15">
      <c r="C874" s="3"/>
      <c r="D874" s="3"/>
      <c r="E874" s="3"/>
      <c r="F874" s="3"/>
      <c r="G874" s="3"/>
    </row>
    <row r="875" spans="3:7" ht="13" x14ac:dyDescent="0.15">
      <c r="C875" s="3"/>
      <c r="D875" s="3"/>
      <c r="E875" s="3"/>
      <c r="F875" s="3"/>
      <c r="G875" s="3"/>
    </row>
    <row r="876" spans="3:7" ht="13" x14ac:dyDescent="0.15">
      <c r="C876" s="3"/>
      <c r="D876" s="3"/>
      <c r="E876" s="3"/>
      <c r="F876" s="3"/>
      <c r="G876" s="3"/>
    </row>
    <row r="877" spans="3:7" ht="13" x14ac:dyDescent="0.15">
      <c r="C877" s="3"/>
      <c r="D877" s="3"/>
      <c r="E877" s="3"/>
      <c r="F877" s="3"/>
      <c r="G877" s="3"/>
    </row>
    <row r="878" spans="3:7" ht="13" x14ac:dyDescent="0.15">
      <c r="C878" s="3"/>
      <c r="D878" s="3"/>
      <c r="E878" s="3"/>
      <c r="F878" s="3"/>
      <c r="G878" s="3"/>
    </row>
    <row r="879" spans="3:7" ht="13" x14ac:dyDescent="0.15">
      <c r="C879" s="3"/>
      <c r="D879" s="3"/>
      <c r="E879" s="3"/>
      <c r="F879" s="3"/>
      <c r="G879" s="3"/>
    </row>
    <row r="880" spans="3:7" ht="13" x14ac:dyDescent="0.15">
      <c r="C880" s="3"/>
      <c r="D880" s="3"/>
      <c r="E880" s="3"/>
      <c r="F880" s="3"/>
      <c r="G880" s="3"/>
    </row>
    <row r="881" spans="3:7" ht="13" x14ac:dyDescent="0.15">
      <c r="C881" s="3"/>
      <c r="D881" s="3"/>
      <c r="E881" s="3"/>
      <c r="F881" s="3"/>
      <c r="G881" s="3"/>
    </row>
    <row r="882" spans="3:7" ht="13" x14ac:dyDescent="0.15">
      <c r="C882" s="3"/>
      <c r="D882" s="3"/>
      <c r="E882" s="3"/>
      <c r="F882" s="3"/>
      <c r="G882" s="3"/>
    </row>
    <row r="883" spans="3:7" ht="13" x14ac:dyDescent="0.15">
      <c r="C883" s="3"/>
      <c r="D883" s="3"/>
      <c r="E883" s="3"/>
      <c r="F883" s="3"/>
      <c r="G883" s="3"/>
    </row>
    <row r="884" spans="3:7" ht="13" x14ac:dyDescent="0.15">
      <c r="C884" s="3"/>
      <c r="D884" s="3"/>
      <c r="E884" s="3"/>
      <c r="F884" s="3"/>
      <c r="G884" s="3"/>
    </row>
    <row r="885" spans="3:7" ht="13" x14ac:dyDescent="0.15">
      <c r="C885" s="3"/>
      <c r="D885" s="3"/>
      <c r="E885" s="3"/>
      <c r="F885" s="3"/>
      <c r="G885" s="3"/>
    </row>
    <row r="886" spans="3:7" ht="13" x14ac:dyDescent="0.15">
      <c r="C886" s="3"/>
      <c r="D886" s="3"/>
      <c r="E886" s="3"/>
      <c r="F886" s="3"/>
      <c r="G886" s="3"/>
    </row>
    <row r="887" spans="3:7" ht="13" x14ac:dyDescent="0.15">
      <c r="C887" s="3"/>
      <c r="D887" s="3"/>
      <c r="E887" s="3"/>
      <c r="F887" s="3"/>
      <c r="G887" s="3"/>
    </row>
    <row r="888" spans="3:7" ht="13" x14ac:dyDescent="0.15">
      <c r="C888" s="3"/>
      <c r="D888" s="3"/>
      <c r="E888" s="3"/>
      <c r="F888" s="3"/>
      <c r="G888" s="3"/>
    </row>
    <row r="889" spans="3:7" ht="13" x14ac:dyDescent="0.15">
      <c r="C889" s="3"/>
      <c r="D889" s="3"/>
      <c r="E889" s="3"/>
      <c r="F889" s="3"/>
      <c r="G889" s="3"/>
    </row>
    <row r="890" spans="3:7" ht="13" x14ac:dyDescent="0.15">
      <c r="C890" s="3"/>
      <c r="D890" s="3"/>
      <c r="E890" s="3"/>
      <c r="F890" s="3"/>
      <c r="G890" s="3"/>
    </row>
    <row r="891" spans="3:7" ht="13" x14ac:dyDescent="0.15">
      <c r="C891" s="3"/>
      <c r="D891" s="3"/>
      <c r="E891" s="3"/>
      <c r="F891" s="3"/>
      <c r="G891" s="3"/>
    </row>
    <row r="892" spans="3:7" ht="13" x14ac:dyDescent="0.15">
      <c r="C892" s="3"/>
      <c r="D892" s="3"/>
      <c r="E892" s="3"/>
      <c r="F892" s="3"/>
      <c r="G892" s="3"/>
    </row>
    <row r="893" spans="3:7" ht="13" x14ac:dyDescent="0.15">
      <c r="C893" s="3"/>
      <c r="D893" s="3"/>
      <c r="E893" s="3"/>
      <c r="F893" s="3"/>
      <c r="G893" s="3"/>
    </row>
    <row r="894" spans="3:7" ht="13" x14ac:dyDescent="0.15">
      <c r="C894" s="3"/>
      <c r="D894" s="3"/>
      <c r="E894" s="3"/>
      <c r="F894" s="3"/>
      <c r="G894" s="3"/>
    </row>
    <row r="895" spans="3:7" ht="13" x14ac:dyDescent="0.15">
      <c r="C895" s="3"/>
      <c r="D895" s="3"/>
      <c r="E895" s="3"/>
      <c r="F895" s="3"/>
      <c r="G895" s="3"/>
    </row>
    <row r="896" spans="3:7" ht="13" x14ac:dyDescent="0.15">
      <c r="C896" s="3"/>
      <c r="D896" s="3"/>
      <c r="E896" s="3"/>
      <c r="F896" s="3"/>
      <c r="G896" s="3"/>
    </row>
    <row r="897" spans="3:7" ht="13" x14ac:dyDescent="0.15">
      <c r="C897" s="3"/>
      <c r="D897" s="3"/>
      <c r="E897" s="3"/>
      <c r="F897" s="3"/>
      <c r="G897" s="3"/>
    </row>
    <row r="898" spans="3:7" ht="13" x14ac:dyDescent="0.15">
      <c r="C898" s="3"/>
      <c r="D898" s="3"/>
      <c r="E898" s="3"/>
      <c r="F898" s="3"/>
      <c r="G898" s="3"/>
    </row>
    <row r="899" spans="3:7" ht="13" x14ac:dyDescent="0.15">
      <c r="C899" s="3"/>
      <c r="D899" s="3"/>
      <c r="E899" s="3"/>
      <c r="F899" s="3"/>
      <c r="G899" s="3"/>
    </row>
    <row r="900" spans="3:7" ht="13" x14ac:dyDescent="0.15">
      <c r="C900" s="3"/>
      <c r="D900" s="3"/>
      <c r="E900" s="3"/>
      <c r="F900" s="3"/>
      <c r="G900" s="3"/>
    </row>
    <row r="901" spans="3:7" ht="13" x14ac:dyDescent="0.15">
      <c r="C901" s="3"/>
      <c r="D901" s="3"/>
      <c r="E901" s="3"/>
      <c r="F901" s="3"/>
      <c r="G901" s="3"/>
    </row>
    <row r="902" spans="3:7" ht="13" x14ac:dyDescent="0.15">
      <c r="C902" s="3"/>
      <c r="D902" s="3"/>
      <c r="E902" s="3"/>
      <c r="F902" s="3"/>
      <c r="G902" s="3"/>
    </row>
    <row r="903" spans="3:7" ht="13" x14ac:dyDescent="0.15">
      <c r="C903" s="3"/>
      <c r="D903" s="3"/>
      <c r="E903" s="3"/>
      <c r="F903" s="3"/>
      <c r="G903" s="3"/>
    </row>
    <row r="904" spans="3:7" ht="13" x14ac:dyDescent="0.15">
      <c r="C904" s="3"/>
      <c r="D904" s="3"/>
      <c r="E904" s="3"/>
      <c r="F904" s="3"/>
      <c r="G904" s="3"/>
    </row>
    <row r="905" spans="3:7" ht="13" x14ac:dyDescent="0.15">
      <c r="C905" s="3"/>
      <c r="D905" s="3"/>
      <c r="E905" s="3"/>
      <c r="F905" s="3"/>
      <c r="G905" s="3"/>
    </row>
    <row r="906" spans="3:7" ht="13" x14ac:dyDescent="0.15">
      <c r="C906" s="3"/>
      <c r="D906" s="3"/>
      <c r="E906" s="3"/>
      <c r="F906" s="3"/>
      <c r="G906" s="3"/>
    </row>
    <row r="907" spans="3:7" ht="13" x14ac:dyDescent="0.15">
      <c r="C907" s="3"/>
      <c r="D907" s="3"/>
      <c r="E907" s="3"/>
      <c r="F907" s="3"/>
      <c r="G907" s="3"/>
    </row>
    <row r="908" spans="3:7" ht="13" x14ac:dyDescent="0.15">
      <c r="C908" s="3"/>
      <c r="D908" s="3"/>
      <c r="E908" s="3"/>
      <c r="F908" s="3"/>
      <c r="G908" s="3"/>
    </row>
    <row r="909" spans="3:7" ht="13" x14ac:dyDescent="0.15">
      <c r="C909" s="3"/>
      <c r="D909" s="3"/>
      <c r="E909" s="3"/>
      <c r="F909" s="3"/>
      <c r="G909" s="3"/>
    </row>
    <row r="910" spans="3:7" ht="13" x14ac:dyDescent="0.15">
      <c r="C910" s="3"/>
      <c r="D910" s="3"/>
      <c r="E910" s="3"/>
      <c r="F910" s="3"/>
      <c r="G910" s="3"/>
    </row>
    <row r="911" spans="3:7" ht="13" x14ac:dyDescent="0.15">
      <c r="C911" s="3"/>
      <c r="D911" s="3"/>
      <c r="E911" s="3"/>
      <c r="F911" s="3"/>
      <c r="G911" s="3"/>
    </row>
    <row r="912" spans="3:7" ht="13" x14ac:dyDescent="0.15">
      <c r="C912" s="3"/>
      <c r="D912" s="3"/>
      <c r="E912" s="3"/>
      <c r="F912" s="3"/>
      <c r="G912" s="3"/>
    </row>
    <row r="913" spans="3:7" ht="13" x14ac:dyDescent="0.15">
      <c r="C913" s="3"/>
      <c r="D913" s="3"/>
      <c r="E913" s="3"/>
      <c r="F913" s="3"/>
      <c r="G913" s="3"/>
    </row>
    <row r="914" spans="3:7" ht="13" x14ac:dyDescent="0.15">
      <c r="C914" s="3"/>
      <c r="D914" s="3"/>
      <c r="E914" s="3"/>
      <c r="F914" s="3"/>
      <c r="G914" s="3"/>
    </row>
    <row r="915" spans="3:7" ht="13" x14ac:dyDescent="0.15">
      <c r="C915" s="3"/>
      <c r="D915" s="3"/>
      <c r="E915" s="3"/>
      <c r="F915" s="3"/>
      <c r="G915" s="3"/>
    </row>
    <row r="916" spans="3:7" ht="13" x14ac:dyDescent="0.15">
      <c r="C916" s="3"/>
      <c r="D916" s="3"/>
      <c r="E916" s="3"/>
      <c r="F916" s="3"/>
      <c r="G916" s="3"/>
    </row>
    <row r="917" spans="3:7" ht="13" x14ac:dyDescent="0.15">
      <c r="C917" s="3"/>
      <c r="D917" s="3"/>
      <c r="E917" s="3"/>
      <c r="F917" s="3"/>
      <c r="G917" s="3"/>
    </row>
    <row r="918" spans="3:7" ht="13" x14ac:dyDescent="0.15">
      <c r="C918" s="3"/>
      <c r="D918" s="3"/>
      <c r="E918" s="3"/>
      <c r="F918" s="3"/>
      <c r="G918" s="3"/>
    </row>
    <row r="919" spans="3:7" ht="13" x14ac:dyDescent="0.15">
      <c r="C919" s="3"/>
      <c r="D919" s="3"/>
      <c r="E919" s="3"/>
      <c r="F919" s="3"/>
      <c r="G919" s="3"/>
    </row>
    <row r="920" spans="3:7" ht="13" x14ac:dyDescent="0.15">
      <c r="C920" s="3"/>
      <c r="D920" s="3"/>
      <c r="E920" s="3"/>
      <c r="F920" s="3"/>
      <c r="G920" s="3"/>
    </row>
    <row r="921" spans="3:7" ht="13" x14ac:dyDescent="0.15">
      <c r="C921" s="3"/>
      <c r="D921" s="3"/>
      <c r="E921" s="3"/>
      <c r="F921" s="3"/>
      <c r="G921" s="3"/>
    </row>
    <row r="922" spans="3:7" ht="13" x14ac:dyDescent="0.15">
      <c r="C922" s="3"/>
      <c r="D922" s="3"/>
      <c r="E922" s="3"/>
      <c r="F922" s="3"/>
      <c r="G922" s="3"/>
    </row>
    <row r="923" spans="3:7" ht="13" x14ac:dyDescent="0.15">
      <c r="C923" s="3"/>
      <c r="D923" s="3"/>
      <c r="E923" s="3"/>
      <c r="F923" s="3"/>
      <c r="G923" s="3"/>
    </row>
    <row r="924" spans="3:7" ht="13" x14ac:dyDescent="0.15">
      <c r="C924" s="3"/>
      <c r="D924" s="3"/>
      <c r="E924" s="3"/>
      <c r="F924" s="3"/>
      <c r="G924" s="3"/>
    </row>
    <row r="925" spans="3:7" ht="13" x14ac:dyDescent="0.15">
      <c r="C925" s="3"/>
      <c r="D925" s="3"/>
      <c r="E925" s="3"/>
      <c r="F925" s="3"/>
      <c r="G925" s="3"/>
    </row>
    <row r="926" spans="3:7" ht="13" x14ac:dyDescent="0.15">
      <c r="C926" s="3"/>
      <c r="D926" s="3"/>
      <c r="E926" s="3"/>
      <c r="F926" s="3"/>
      <c r="G926" s="3"/>
    </row>
    <row r="927" spans="3:7" ht="13" x14ac:dyDescent="0.15">
      <c r="C927" s="3"/>
      <c r="D927" s="3"/>
      <c r="E927" s="3"/>
      <c r="F927" s="3"/>
      <c r="G927" s="3"/>
    </row>
    <row r="928" spans="3:7" ht="13" x14ac:dyDescent="0.15">
      <c r="C928" s="3"/>
      <c r="D928" s="3"/>
      <c r="E928" s="3"/>
      <c r="F928" s="3"/>
      <c r="G928" s="3"/>
    </row>
    <row r="929" spans="3:7" ht="13" x14ac:dyDescent="0.15">
      <c r="C929" s="3"/>
      <c r="D929" s="3"/>
      <c r="E929" s="3"/>
      <c r="F929" s="3"/>
      <c r="G929" s="3"/>
    </row>
    <row r="930" spans="3:7" ht="13" x14ac:dyDescent="0.15">
      <c r="C930" s="3"/>
      <c r="D930" s="3"/>
      <c r="E930" s="3"/>
      <c r="F930" s="3"/>
      <c r="G930" s="3"/>
    </row>
    <row r="931" spans="3:7" ht="13" x14ac:dyDescent="0.15">
      <c r="C931" s="3"/>
      <c r="D931" s="3"/>
      <c r="E931" s="3"/>
      <c r="F931" s="3"/>
      <c r="G931" s="3"/>
    </row>
    <row r="932" spans="3:7" ht="13" x14ac:dyDescent="0.15">
      <c r="C932" s="3"/>
      <c r="D932" s="3"/>
      <c r="E932" s="3"/>
      <c r="F932" s="3"/>
      <c r="G932" s="3"/>
    </row>
    <row r="933" spans="3:7" ht="13" x14ac:dyDescent="0.15">
      <c r="C933" s="3"/>
      <c r="D933" s="3"/>
      <c r="E933" s="3"/>
      <c r="F933" s="3"/>
      <c r="G933" s="3"/>
    </row>
    <row r="934" spans="3:7" ht="13" x14ac:dyDescent="0.15">
      <c r="C934" s="3"/>
      <c r="D934" s="3"/>
      <c r="E934" s="3"/>
      <c r="F934" s="3"/>
      <c r="G934" s="3"/>
    </row>
    <row r="935" spans="3:7" ht="13" x14ac:dyDescent="0.15">
      <c r="C935" s="3"/>
      <c r="D935" s="3"/>
      <c r="E935" s="3"/>
      <c r="F935" s="3"/>
      <c r="G935" s="3"/>
    </row>
    <row r="936" spans="3:7" ht="13" x14ac:dyDescent="0.15">
      <c r="C936" s="3"/>
      <c r="D936" s="3"/>
      <c r="E936" s="3"/>
      <c r="F936" s="3"/>
      <c r="G936" s="3"/>
    </row>
    <row r="937" spans="3:7" ht="13" x14ac:dyDescent="0.15">
      <c r="C937" s="3"/>
      <c r="D937" s="3"/>
      <c r="E937" s="3"/>
      <c r="F937" s="3"/>
      <c r="G937" s="3"/>
    </row>
    <row r="938" spans="3:7" ht="13" x14ac:dyDescent="0.15">
      <c r="C938" s="3"/>
      <c r="D938" s="3"/>
      <c r="E938" s="3"/>
      <c r="F938" s="3"/>
      <c r="G938" s="3"/>
    </row>
    <row r="939" spans="3:7" ht="13" x14ac:dyDescent="0.15">
      <c r="C939" s="3"/>
      <c r="D939" s="3"/>
      <c r="E939" s="3"/>
      <c r="F939" s="3"/>
      <c r="G939" s="3"/>
    </row>
    <row r="940" spans="3:7" ht="13" x14ac:dyDescent="0.15">
      <c r="C940" s="3"/>
      <c r="D940" s="3"/>
      <c r="E940" s="3"/>
      <c r="F940" s="3"/>
      <c r="G940" s="3"/>
    </row>
    <row r="941" spans="3:7" ht="13" x14ac:dyDescent="0.15">
      <c r="C941" s="3"/>
      <c r="D941" s="3"/>
      <c r="E941" s="3"/>
      <c r="F941" s="3"/>
      <c r="G941" s="3"/>
    </row>
    <row r="942" spans="3:7" ht="13" x14ac:dyDescent="0.15">
      <c r="C942" s="3"/>
      <c r="D942" s="3"/>
      <c r="E942" s="3"/>
      <c r="F942" s="3"/>
      <c r="G942" s="3"/>
    </row>
    <row r="943" spans="3:7" ht="13" x14ac:dyDescent="0.15">
      <c r="C943" s="3"/>
      <c r="D943" s="3"/>
      <c r="E943" s="3"/>
      <c r="F943" s="3"/>
      <c r="G943" s="3"/>
    </row>
    <row r="944" spans="3:7" ht="13" x14ac:dyDescent="0.15">
      <c r="C944" s="3"/>
      <c r="D944" s="3"/>
      <c r="E944" s="3"/>
      <c r="F944" s="3"/>
      <c r="G944" s="3"/>
    </row>
    <row r="945" spans="3:7" ht="13" x14ac:dyDescent="0.15">
      <c r="C945" s="3"/>
      <c r="D945" s="3"/>
      <c r="E945" s="3"/>
      <c r="F945" s="3"/>
      <c r="G945" s="3"/>
    </row>
    <row r="946" spans="3:7" ht="13" x14ac:dyDescent="0.15">
      <c r="C946" s="3"/>
      <c r="D946" s="3"/>
      <c r="E946" s="3"/>
      <c r="F946" s="3"/>
      <c r="G946" s="3"/>
    </row>
    <row r="947" spans="3:7" ht="13" x14ac:dyDescent="0.15">
      <c r="C947" s="3"/>
      <c r="D947" s="3"/>
      <c r="E947" s="3"/>
      <c r="F947" s="3"/>
      <c r="G947" s="3"/>
    </row>
    <row r="948" spans="3:7" ht="13" x14ac:dyDescent="0.15">
      <c r="C948" s="3"/>
      <c r="D948" s="3"/>
      <c r="E948" s="3"/>
      <c r="F948" s="3"/>
      <c r="G948" s="3"/>
    </row>
    <row r="949" spans="3:7" ht="13" x14ac:dyDescent="0.15">
      <c r="C949" s="3"/>
      <c r="D949" s="3"/>
      <c r="E949" s="3"/>
      <c r="F949" s="3"/>
      <c r="G949" s="3"/>
    </row>
    <row r="950" spans="3:7" ht="13" x14ac:dyDescent="0.15">
      <c r="C950" s="3"/>
      <c r="D950" s="3"/>
      <c r="E950" s="3"/>
      <c r="F950" s="3"/>
      <c r="G950" s="3"/>
    </row>
    <row r="951" spans="3:7" ht="13" x14ac:dyDescent="0.15">
      <c r="C951" s="3"/>
      <c r="D951" s="3"/>
      <c r="E951" s="3"/>
      <c r="F951" s="3"/>
      <c r="G951" s="3"/>
    </row>
    <row r="952" spans="3:7" ht="13" x14ac:dyDescent="0.15">
      <c r="C952" s="3"/>
      <c r="D952" s="3"/>
      <c r="E952" s="3"/>
      <c r="F952" s="3"/>
      <c r="G952" s="3"/>
    </row>
    <row r="953" spans="3:7" ht="13" x14ac:dyDescent="0.15">
      <c r="C953" s="3"/>
      <c r="D953" s="3"/>
      <c r="E953" s="3"/>
      <c r="F953" s="3"/>
      <c r="G953" s="3"/>
    </row>
    <row r="954" spans="3:7" ht="13" x14ac:dyDescent="0.15">
      <c r="C954" s="3"/>
      <c r="D954" s="3"/>
      <c r="E954" s="3"/>
      <c r="F954" s="3"/>
      <c r="G954" s="3"/>
    </row>
    <row r="955" spans="3:7" ht="13" x14ac:dyDescent="0.15">
      <c r="C955" s="3"/>
      <c r="D955" s="3"/>
      <c r="E955" s="3"/>
      <c r="F955" s="3"/>
      <c r="G955" s="3"/>
    </row>
    <row r="956" spans="3:7" ht="13" x14ac:dyDescent="0.15">
      <c r="C956" s="3"/>
      <c r="D956" s="3"/>
      <c r="E956" s="3"/>
      <c r="F956" s="3"/>
      <c r="G956" s="3"/>
    </row>
    <row r="957" spans="3:7" ht="13" x14ac:dyDescent="0.15">
      <c r="C957" s="3"/>
      <c r="D957" s="3"/>
      <c r="E957" s="3"/>
      <c r="F957" s="3"/>
      <c r="G957" s="3"/>
    </row>
    <row r="958" spans="3:7" ht="13" x14ac:dyDescent="0.15">
      <c r="C958" s="3"/>
      <c r="D958" s="3"/>
      <c r="E958" s="3"/>
      <c r="F958" s="3"/>
      <c r="G958" s="3"/>
    </row>
    <row r="959" spans="3:7" ht="13" x14ac:dyDescent="0.15">
      <c r="C959" s="3"/>
      <c r="D959" s="3"/>
      <c r="E959" s="3"/>
      <c r="F959" s="3"/>
      <c r="G959" s="3"/>
    </row>
    <row r="960" spans="3:7" ht="13" x14ac:dyDescent="0.15">
      <c r="C960" s="3"/>
      <c r="D960" s="3"/>
      <c r="E960" s="3"/>
      <c r="F960" s="3"/>
      <c r="G960" s="3"/>
    </row>
    <row r="961" spans="3:7" ht="13" x14ac:dyDescent="0.15">
      <c r="C961" s="3"/>
      <c r="D961" s="3"/>
      <c r="E961" s="3"/>
      <c r="F961" s="3"/>
      <c r="G961" s="3"/>
    </row>
    <row r="962" spans="3:7" ht="13" x14ac:dyDescent="0.15">
      <c r="C962" s="3"/>
      <c r="D962" s="3"/>
      <c r="E962" s="3"/>
      <c r="F962" s="3"/>
      <c r="G962" s="3"/>
    </row>
    <row r="963" spans="3:7" ht="13" x14ac:dyDescent="0.15">
      <c r="C963" s="3"/>
      <c r="D963" s="3"/>
      <c r="E963" s="3"/>
      <c r="F963" s="3"/>
      <c r="G963" s="3"/>
    </row>
    <row r="964" spans="3:7" ht="13" x14ac:dyDescent="0.15">
      <c r="C964" s="3"/>
      <c r="D964" s="3"/>
      <c r="E964" s="3"/>
      <c r="F964" s="3"/>
      <c r="G964" s="3"/>
    </row>
    <row r="965" spans="3:7" ht="13" x14ac:dyDescent="0.15">
      <c r="C965" s="3"/>
      <c r="D965" s="3"/>
      <c r="E965" s="3"/>
      <c r="F965" s="3"/>
      <c r="G965" s="3"/>
    </row>
    <row r="966" spans="3:7" ht="13" x14ac:dyDescent="0.15">
      <c r="C966" s="3"/>
      <c r="D966" s="3"/>
      <c r="E966" s="3"/>
      <c r="F966" s="3"/>
      <c r="G966" s="3"/>
    </row>
    <row r="967" spans="3:7" ht="13" x14ac:dyDescent="0.15">
      <c r="C967" s="3"/>
      <c r="D967" s="3"/>
      <c r="E967" s="3"/>
      <c r="F967" s="3"/>
      <c r="G967" s="3"/>
    </row>
    <row r="968" spans="3:7" ht="13" x14ac:dyDescent="0.15">
      <c r="C968" s="3"/>
      <c r="D968" s="3"/>
      <c r="E968" s="3"/>
      <c r="F968" s="3"/>
      <c r="G968" s="3"/>
    </row>
    <row r="969" spans="3:7" ht="13" x14ac:dyDescent="0.15">
      <c r="C969" s="3"/>
      <c r="D969" s="3"/>
      <c r="E969" s="3"/>
      <c r="F969" s="3"/>
      <c r="G969" s="3"/>
    </row>
    <row r="970" spans="3:7" ht="13" x14ac:dyDescent="0.15">
      <c r="C970" s="3"/>
      <c r="D970" s="3"/>
      <c r="E970" s="3"/>
      <c r="F970" s="3"/>
      <c r="G970" s="3"/>
    </row>
    <row r="971" spans="3:7" ht="13" x14ac:dyDescent="0.15">
      <c r="C971" s="3"/>
      <c r="D971" s="3"/>
      <c r="E971" s="3"/>
      <c r="F971" s="3"/>
      <c r="G971" s="3"/>
    </row>
    <row r="972" spans="3:7" ht="13" x14ac:dyDescent="0.15">
      <c r="C972" s="3"/>
      <c r="D972" s="3"/>
      <c r="E972" s="3"/>
      <c r="F972" s="3"/>
      <c r="G972" s="3"/>
    </row>
    <row r="973" spans="3:7" ht="13" x14ac:dyDescent="0.15">
      <c r="C973" s="3"/>
      <c r="D973" s="3"/>
      <c r="E973" s="3"/>
      <c r="F973" s="3"/>
      <c r="G973" s="3"/>
    </row>
    <row r="974" spans="3:7" ht="13" x14ac:dyDescent="0.15">
      <c r="C974" s="3"/>
      <c r="D974" s="3"/>
      <c r="E974" s="3"/>
      <c r="F974" s="3"/>
      <c r="G974" s="3"/>
    </row>
    <row r="975" spans="3:7" ht="13" x14ac:dyDescent="0.15">
      <c r="C975" s="3"/>
      <c r="D975" s="3"/>
      <c r="E975" s="3"/>
      <c r="F975" s="3"/>
      <c r="G975" s="3"/>
    </row>
    <row r="976" spans="3:7" ht="13" x14ac:dyDescent="0.15">
      <c r="C976" s="3"/>
      <c r="D976" s="3"/>
      <c r="E976" s="3"/>
      <c r="F976" s="3"/>
      <c r="G976" s="3"/>
    </row>
    <row r="977" spans="3:7" ht="13" x14ac:dyDescent="0.15">
      <c r="C977" s="3"/>
      <c r="D977" s="3"/>
      <c r="E977" s="3"/>
      <c r="F977" s="3"/>
      <c r="G977" s="3"/>
    </row>
    <row r="978" spans="3:7" ht="13" x14ac:dyDescent="0.15">
      <c r="C978" s="3"/>
      <c r="D978" s="3"/>
      <c r="E978" s="3"/>
      <c r="F978" s="3"/>
      <c r="G978" s="3"/>
    </row>
    <row r="979" spans="3:7" ht="13" x14ac:dyDescent="0.15">
      <c r="C979" s="3"/>
      <c r="D979" s="3"/>
      <c r="E979" s="3"/>
      <c r="F979" s="3"/>
      <c r="G979" s="3"/>
    </row>
    <row r="980" spans="3:7" ht="13" x14ac:dyDescent="0.15">
      <c r="C980" s="3"/>
      <c r="D980" s="3"/>
      <c r="E980" s="3"/>
      <c r="F980" s="3"/>
      <c r="G980" s="3"/>
    </row>
    <row r="981" spans="3:7" ht="13" x14ac:dyDescent="0.15">
      <c r="C981" s="3"/>
      <c r="D981" s="3"/>
      <c r="E981" s="3"/>
      <c r="F981" s="3"/>
      <c r="G981" s="3"/>
    </row>
    <row r="982" spans="3:7" ht="13" x14ac:dyDescent="0.15">
      <c r="C982" s="3"/>
      <c r="D982" s="3"/>
      <c r="E982" s="3"/>
      <c r="F982" s="3"/>
      <c r="G982" s="3"/>
    </row>
    <row r="983" spans="3:7" ht="13" x14ac:dyDescent="0.15">
      <c r="C983" s="3"/>
      <c r="D983" s="3"/>
      <c r="E983" s="3"/>
      <c r="F983" s="3"/>
      <c r="G983" s="3"/>
    </row>
    <row r="984" spans="3:7" ht="13" x14ac:dyDescent="0.15">
      <c r="C984" s="3"/>
      <c r="D984" s="3"/>
      <c r="E984" s="3"/>
      <c r="F984" s="3"/>
      <c r="G984" s="3"/>
    </row>
    <row r="985" spans="3:7" ht="13" x14ac:dyDescent="0.15">
      <c r="C985" s="3"/>
      <c r="D985" s="3"/>
      <c r="E985" s="3"/>
      <c r="F985" s="3"/>
      <c r="G985" s="3"/>
    </row>
    <row r="986" spans="3:7" ht="13" x14ac:dyDescent="0.15">
      <c r="C986" s="3"/>
      <c r="D986" s="3"/>
      <c r="E986" s="3"/>
      <c r="F986" s="3"/>
      <c r="G986" s="3"/>
    </row>
    <row r="987" spans="3:7" ht="13" x14ac:dyDescent="0.15">
      <c r="C987" s="3"/>
      <c r="D987" s="3"/>
      <c r="E987" s="3"/>
      <c r="F987" s="3"/>
      <c r="G987" s="3"/>
    </row>
    <row r="988" spans="3:7" ht="13" x14ac:dyDescent="0.15">
      <c r="C988" s="3"/>
      <c r="D988" s="3"/>
      <c r="E988" s="3"/>
      <c r="F988" s="3"/>
      <c r="G988" s="3"/>
    </row>
    <row r="989" spans="3:7" ht="13" x14ac:dyDescent="0.15">
      <c r="C989" s="3"/>
      <c r="D989" s="3"/>
      <c r="E989" s="3"/>
      <c r="F989" s="3"/>
      <c r="G989" s="3"/>
    </row>
    <row r="990" spans="3:7" ht="13" x14ac:dyDescent="0.15">
      <c r="C990" s="3"/>
      <c r="D990" s="3"/>
      <c r="E990" s="3"/>
      <c r="F990" s="3"/>
      <c r="G990" s="3"/>
    </row>
    <row r="991" spans="3:7" ht="13" x14ac:dyDescent="0.15">
      <c r="C991" s="3"/>
      <c r="D991" s="3"/>
      <c r="E991" s="3"/>
      <c r="F991" s="3"/>
      <c r="G991" s="3"/>
    </row>
    <row r="992" spans="3:7" ht="13" x14ac:dyDescent="0.15">
      <c r="C992" s="3"/>
      <c r="D992" s="3"/>
      <c r="E992" s="3"/>
      <c r="F992" s="3"/>
      <c r="G992" s="3"/>
    </row>
    <row r="993" spans="3:7" ht="13" x14ac:dyDescent="0.15">
      <c r="C993" s="3"/>
      <c r="D993" s="3"/>
      <c r="E993" s="3"/>
      <c r="F993" s="3"/>
      <c r="G993" s="3"/>
    </row>
    <row r="994" spans="3:7" ht="13" x14ac:dyDescent="0.15">
      <c r="C994" s="3"/>
      <c r="D994" s="3"/>
      <c r="E994" s="3"/>
      <c r="F994" s="3"/>
      <c r="G994" s="3"/>
    </row>
    <row r="995" spans="3:7" ht="13" x14ac:dyDescent="0.15">
      <c r="C995" s="3"/>
      <c r="D995" s="3"/>
      <c r="E995" s="3"/>
      <c r="F995" s="3"/>
      <c r="G995" s="3"/>
    </row>
    <row r="996" spans="3:7" ht="13" x14ac:dyDescent="0.15">
      <c r="C996" s="3"/>
      <c r="D996" s="3"/>
      <c r="E996" s="3"/>
      <c r="F996" s="3"/>
      <c r="G996" s="3"/>
    </row>
    <row r="997" spans="3:7" ht="13" x14ac:dyDescent="0.15">
      <c r="C997" s="3"/>
      <c r="D997" s="3"/>
      <c r="E997" s="3"/>
      <c r="F997" s="3"/>
      <c r="G997" s="3"/>
    </row>
    <row r="998" spans="3:7" ht="13" x14ac:dyDescent="0.15">
      <c r="C998" s="3"/>
      <c r="D998" s="3"/>
      <c r="E998" s="3"/>
      <c r="F998" s="3"/>
      <c r="G998" s="3"/>
    </row>
    <row r="999" spans="3:7" ht="13" x14ac:dyDescent="0.15">
      <c r="C999" s="3"/>
      <c r="D999" s="3"/>
      <c r="E999" s="3"/>
      <c r="F999" s="3"/>
      <c r="G999" s="3"/>
    </row>
    <row r="1000" spans="3:7" ht="13" x14ac:dyDescent="0.15">
      <c r="C1000" s="3"/>
      <c r="D1000" s="3"/>
      <c r="E1000" s="3"/>
      <c r="F1000" s="3"/>
      <c r="G1000" s="3"/>
    </row>
    <row r="1001" spans="3:7" ht="13" x14ac:dyDescent="0.15">
      <c r="C1001" s="3"/>
      <c r="D1001" s="3"/>
      <c r="E1001" s="3"/>
      <c r="F1001" s="3"/>
      <c r="G1001" s="3"/>
    </row>
    <row r="1002" spans="3:7" ht="13" x14ac:dyDescent="0.15">
      <c r="C1002" s="3"/>
      <c r="D1002" s="3"/>
      <c r="E1002" s="3"/>
      <c r="F1002" s="3"/>
      <c r="G1002" s="3"/>
    </row>
  </sheetData>
  <hyperlinks>
    <hyperlink ref="D39" r:id="rId1" xr:uid="{00000000-0004-0000-0000-000000000000}"/>
    <hyperlink ref="E39" r:id="rId2" xr:uid="{00000000-0004-0000-0000-000001000000}"/>
    <hyperlink ref="F39" r:id="rId3" xr:uid="{00000000-0004-0000-0000-000002000000}"/>
    <hyperlink ref="G39" r:id="rId4" xr:uid="{00000000-0004-0000-0000-000003000000}"/>
    <hyperlink ref="H39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1002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2" width="47.6640625" customWidth="1"/>
    <col min="3" max="3" width="6.33203125" customWidth="1"/>
  </cols>
  <sheetData>
    <row r="1" spans="2:8" ht="14" x14ac:dyDescent="0.15">
      <c r="B1" s="25" t="s">
        <v>39</v>
      </c>
      <c r="D1" s="26"/>
      <c r="E1" s="26"/>
      <c r="F1" s="3"/>
      <c r="G1" s="3"/>
      <c r="H1" s="3"/>
    </row>
    <row r="2" spans="2:8" ht="13" x14ac:dyDescent="0.15">
      <c r="D2" s="26"/>
      <c r="E2" s="26"/>
      <c r="F2" s="3"/>
      <c r="G2" s="3"/>
      <c r="H2" s="3"/>
    </row>
    <row r="3" spans="2:8" ht="14" x14ac:dyDescent="0.15">
      <c r="B3" s="6" t="s">
        <v>1</v>
      </c>
      <c r="C3" s="27"/>
      <c r="D3" s="7">
        <v>2020</v>
      </c>
      <c r="E3" s="7">
        <v>2021</v>
      </c>
      <c r="F3" s="7">
        <v>2022</v>
      </c>
      <c r="G3" s="7">
        <v>2023</v>
      </c>
      <c r="H3" s="7">
        <v>2024</v>
      </c>
    </row>
    <row r="4" spans="2:8" ht="13" x14ac:dyDescent="0.15">
      <c r="B4" s="2" t="s">
        <v>40</v>
      </c>
      <c r="D4" s="26"/>
      <c r="E4" s="26"/>
      <c r="F4" s="3"/>
      <c r="G4" s="3"/>
      <c r="H4" s="3"/>
    </row>
    <row r="5" spans="2:8" ht="13" x14ac:dyDescent="0.15">
      <c r="B5" s="4" t="s">
        <v>41</v>
      </c>
      <c r="D5" s="26">
        <v>34004563</v>
      </c>
      <c r="E5" s="26">
        <v>35983013</v>
      </c>
      <c r="F5" s="3">
        <v>39020818</v>
      </c>
      <c r="G5" s="3">
        <v>38774598</v>
      </c>
      <c r="H5" s="3">
        <v>38469167</v>
      </c>
    </row>
    <row r="6" spans="2:8" ht="13" x14ac:dyDescent="0.15">
      <c r="B6" s="4" t="s">
        <v>42</v>
      </c>
      <c r="D6" s="26">
        <v>68308732</v>
      </c>
      <c r="E6" s="26">
        <v>181085190</v>
      </c>
      <c r="F6" s="3">
        <v>215968880</v>
      </c>
      <c r="G6" s="3">
        <v>215968880</v>
      </c>
      <c r="H6" s="3">
        <v>215968880</v>
      </c>
    </row>
    <row r="7" spans="2:8" ht="13" x14ac:dyDescent="0.15">
      <c r="B7" s="4" t="s">
        <v>43</v>
      </c>
      <c r="D7" s="26">
        <v>15104117</v>
      </c>
      <c r="E7" s="26">
        <v>50123900</v>
      </c>
      <c r="F7" s="3">
        <v>52130951</v>
      </c>
      <c r="G7" s="3">
        <v>51823036</v>
      </c>
      <c r="H7" s="3">
        <v>40856412</v>
      </c>
    </row>
    <row r="8" spans="2:8" ht="13" x14ac:dyDescent="0.15">
      <c r="B8" s="4" t="s">
        <v>44</v>
      </c>
      <c r="D8" s="26">
        <v>9636543</v>
      </c>
      <c r="E8" s="26">
        <v>14041962</v>
      </c>
      <c r="F8" s="3">
        <v>17709172</v>
      </c>
      <c r="G8" s="3">
        <v>15464554</v>
      </c>
      <c r="H8" s="3">
        <v>13398871</v>
      </c>
    </row>
    <row r="9" spans="2:8" ht="13" x14ac:dyDescent="0.15">
      <c r="B9" s="4" t="s">
        <v>45</v>
      </c>
      <c r="D9" s="26">
        <v>2496</v>
      </c>
      <c r="E9" s="26">
        <v>2859</v>
      </c>
      <c r="F9" s="3">
        <v>5109</v>
      </c>
      <c r="G9" s="3">
        <v>5109</v>
      </c>
      <c r="H9" s="3">
        <v>5109</v>
      </c>
    </row>
    <row r="10" spans="2:8" ht="13" x14ac:dyDescent="0.15">
      <c r="B10" s="4" t="s">
        <v>46</v>
      </c>
      <c r="D10" s="26">
        <v>223504</v>
      </c>
      <c r="E10" s="26">
        <v>2327877</v>
      </c>
      <c r="F10" s="3">
        <v>429732</v>
      </c>
      <c r="G10" s="3">
        <v>235310</v>
      </c>
      <c r="H10" s="3">
        <v>222324</v>
      </c>
    </row>
    <row r="11" spans="2:8" ht="13" x14ac:dyDescent="0.15">
      <c r="B11" s="4" t="s">
        <v>47</v>
      </c>
      <c r="D11" s="26">
        <v>1846158</v>
      </c>
      <c r="E11" s="26">
        <v>1515513</v>
      </c>
      <c r="F11" s="3">
        <v>1951640</v>
      </c>
      <c r="G11" s="3">
        <v>2693710</v>
      </c>
      <c r="H11" s="3">
        <v>1686119</v>
      </c>
    </row>
    <row r="12" spans="2:8" ht="13" x14ac:dyDescent="0.15">
      <c r="B12" s="10" t="s">
        <v>48</v>
      </c>
      <c r="C12" s="11"/>
      <c r="D12" s="28">
        <f t="shared" ref="D12:H12" si="0">SUM(D5:D11)</f>
        <v>129126113</v>
      </c>
      <c r="E12" s="28">
        <f t="shared" si="0"/>
        <v>285080314</v>
      </c>
      <c r="F12" s="28">
        <f t="shared" si="0"/>
        <v>327216302</v>
      </c>
      <c r="G12" s="28">
        <f t="shared" si="0"/>
        <v>324965197</v>
      </c>
      <c r="H12" s="28">
        <f t="shared" si="0"/>
        <v>310606882</v>
      </c>
    </row>
    <row r="13" spans="2:8" ht="13" x14ac:dyDescent="0.15">
      <c r="D13" s="26"/>
      <c r="E13" s="26"/>
      <c r="F13" s="3"/>
      <c r="G13" s="3"/>
      <c r="H13" s="3"/>
    </row>
    <row r="14" spans="2:8" ht="13" x14ac:dyDescent="0.15">
      <c r="B14" s="2" t="s">
        <v>49</v>
      </c>
      <c r="D14" s="26"/>
      <c r="E14" s="26"/>
      <c r="F14" s="3"/>
      <c r="G14" s="3"/>
      <c r="H14" s="3"/>
    </row>
    <row r="15" spans="2:8" ht="13" x14ac:dyDescent="0.15">
      <c r="B15" s="29" t="s">
        <v>50</v>
      </c>
      <c r="D15" s="26">
        <v>25490065</v>
      </c>
      <c r="E15" s="26">
        <v>77907701</v>
      </c>
      <c r="F15" s="3">
        <v>101201958</v>
      </c>
      <c r="G15" s="3">
        <v>78552355</v>
      </c>
      <c r="H15" s="3">
        <v>65264485</v>
      </c>
    </row>
    <row r="16" spans="2:8" ht="13" x14ac:dyDescent="0.15">
      <c r="B16" s="4" t="s">
        <v>51</v>
      </c>
      <c r="D16" s="26">
        <v>30566837</v>
      </c>
      <c r="E16" s="26">
        <v>68143859</v>
      </c>
      <c r="F16" s="3">
        <v>61599269</v>
      </c>
      <c r="G16" s="3">
        <v>52129713</v>
      </c>
      <c r="H16" s="3">
        <v>50612573</v>
      </c>
    </row>
    <row r="17" spans="2:9" ht="13" x14ac:dyDescent="0.15">
      <c r="B17" s="4" t="s">
        <v>52</v>
      </c>
      <c r="D17" s="26">
        <v>1402285</v>
      </c>
      <c r="E17" s="26">
        <v>2395938</v>
      </c>
      <c r="F17" s="3">
        <v>6082797</v>
      </c>
      <c r="G17" s="3">
        <v>8310750</v>
      </c>
      <c r="H17" s="3">
        <v>2631151</v>
      </c>
    </row>
    <row r="18" spans="2:9" ht="13" x14ac:dyDescent="0.15">
      <c r="B18" s="4" t="s">
        <v>53</v>
      </c>
      <c r="D18" s="26">
        <v>2096047</v>
      </c>
      <c r="E18" s="26">
        <v>7402216</v>
      </c>
      <c r="F18" s="3">
        <v>3493237</v>
      </c>
      <c r="G18" s="3">
        <v>1674105</v>
      </c>
      <c r="H18" s="3">
        <v>721156</v>
      </c>
    </row>
    <row r="19" spans="2:9" ht="13" x14ac:dyDescent="0.15">
      <c r="B19" s="4" t="s">
        <v>54</v>
      </c>
      <c r="D19" s="26">
        <v>57426</v>
      </c>
      <c r="E19" s="26">
        <v>1113163</v>
      </c>
      <c r="F19" s="3">
        <v>674237</v>
      </c>
      <c r="G19" s="3">
        <v>524162</v>
      </c>
      <c r="H19" s="3">
        <v>528760</v>
      </c>
    </row>
    <row r="20" spans="2:9" ht="13" x14ac:dyDescent="0.15">
      <c r="B20" s="4" t="s">
        <v>55</v>
      </c>
      <c r="D20" s="26">
        <v>33401735</v>
      </c>
      <c r="E20" s="26">
        <v>59103393</v>
      </c>
      <c r="F20" s="3">
        <v>61049148</v>
      </c>
      <c r="G20" s="3">
        <v>70900191</v>
      </c>
      <c r="H20" s="3">
        <v>59500216</v>
      </c>
    </row>
    <row r="21" spans="2:9" ht="13" x14ac:dyDescent="0.15">
      <c r="B21" s="10" t="s">
        <v>56</v>
      </c>
      <c r="C21" s="11"/>
      <c r="D21" s="28">
        <f t="shared" ref="D21:I21" si="1">SUM(D15:D20)</f>
        <v>93014395</v>
      </c>
      <c r="E21" s="28">
        <f t="shared" si="1"/>
        <v>216066270</v>
      </c>
      <c r="F21" s="28">
        <f t="shared" si="1"/>
        <v>234100646</v>
      </c>
      <c r="G21" s="28">
        <f t="shared" si="1"/>
        <v>212091276</v>
      </c>
      <c r="H21" s="28">
        <f t="shared" si="1"/>
        <v>179258341</v>
      </c>
      <c r="I21" s="28">
        <f t="shared" si="1"/>
        <v>0</v>
      </c>
    </row>
    <row r="22" spans="2:9" ht="13" x14ac:dyDescent="0.15">
      <c r="D22" s="26"/>
      <c r="E22" s="26"/>
      <c r="F22" s="3"/>
      <c r="G22" s="3"/>
      <c r="H22" s="3"/>
    </row>
    <row r="23" spans="2:9" ht="13" x14ac:dyDescent="0.15">
      <c r="B23" s="4" t="s">
        <v>57</v>
      </c>
      <c r="D23" s="5" t="s">
        <v>14</v>
      </c>
      <c r="E23" s="5" t="s">
        <v>14</v>
      </c>
      <c r="F23" s="5" t="s">
        <v>14</v>
      </c>
      <c r="G23" s="5" t="s">
        <v>14</v>
      </c>
      <c r="H23" s="3">
        <v>9740033</v>
      </c>
    </row>
    <row r="24" spans="2:9" ht="13" x14ac:dyDescent="0.15">
      <c r="D24" s="26"/>
      <c r="E24" s="26"/>
      <c r="F24" s="3"/>
      <c r="G24" s="3"/>
      <c r="H24" s="3"/>
    </row>
    <row r="25" spans="2:9" ht="13" x14ac:dyDescent="0.15">
      <c r="B25" s="10" t="s">
        <v>58</v>
      </c>
      <c r="C25" s="11"/>
      <c r="D25" s="28">
        <f t="shared" ref="D25:H25" si="2">SUM(D21,D12)</f>
        <v>222140508</v>
      </c>
      <c r="E25" s="28">
        <f t="shared" si="2"/>
        <v>501146584</v>
      </c>
      <c r="F25" s="28">
        <f t="shared" si="2"/>
        <v>561316948</v>
      </c>
      <c r="G25" s="28">
        <f t="shared" si="2"/>
        <v>537056473</v>
      </c>
      <c r="H25" s="28">
        <f t="shared" si="2"/>
        <v>489865223</v>
      </c>
    </row>
    <row r="26" spans="2:9" ht="13" x14ac:dyDescent="0.15">
      <c r="D26" s="26"/>
      <c r="E26" s="26"/>
      <c r="F26" s="3"/>
      <c r="G26" s="3"/>
      <c r="H26" s="3"/>
    </row>
    <row r="27" spans="2:9" ht="13" x14ac:dyDescent="0.15">
      <c r="B27" s="2" t="s">
        <v>59</v>
      </c>
      <c r="D27" s="26"/>
      <c r="E27" s="26"/>
      <c r="F27" s="3"/>
      <c r="G27" s="3"/>
      <c r="H27" s="3"/>
    </row>
    <row r="28" spans="2:9" ht="13" x14ac:dyDescent="0.15">
      <c r="B28" s="4" t="s">
        <v>60</v>
      </c>
      <c r="D28" s="30">
        <v>879854</v>
      </c>
      <c r="E28" s="26">
        <v>1046266</v>
      </c>
      <c r="F28" s="3">
        <v>1124468</v>
      </c>
      <c r="G28" s="3">
        <v>1124468</v>
      </c>
      <c r="H28" s="3">
        <v>1124468</v>
      </c>
    </row>
    <row r="29" spans="2:9" ht="13" x14ac:dyDescent="0.15">
      <c r="B29" s="4" t="s">
        <v>61</v>
      </c>
      <c r="D29" s="30">
        <v>67027888</v>
      </c>
      <c r="E29" s="26">
        <v>113170255</v>
      </c>
      <c r="F29" s="3">
        <v>142277658</v>
      </c>
      <c r="G29" s="3">
        <v>145344279</v>
      </c>
      <c r="H29" s="3">
        <v>155125347</v>
      </c>
    </row>
    <row r="30" spans="2:9" ht="13" x14ac:dyDescent="0.15">
      <c r="B30" s="4" t="s">
        <v>62</v>
      </c>
      <c r="D30" s="30">
        <v>-66778</v>
      </c>
      <c r="E30" s="26">
        <v>-77633</v>
      </c>
      <c r="F30" s="3">
        <v>-22659</v>
      </c>
      <c r="G30" s="3">
        <v>-63762</v>
      </c>
      <c r="H30" s="3">
        <v>30958</v>
      </c>
    </row>
    <row r="31" spans="2:9" ht="13" x14ac:dyDescent="0.15">
      <c r="B31" s="4" t="s">
        <v>63</v>
      </c>
      <c r="D31" s="30">
        <v>739278</v>
      </c>
      <c r="E31" s="26">
        <v>518220</v>
      </c>
      <c r="F31" s="3">
        <v>65947</v>
      </c>
      <c r="G31" s="3">
        <v>789694</v>
      </c>
      <c r="H31" s="3">
        <v>794385</v>
      </c>
    </row>
    <row r="32" spans="2:9" ht="13" x14ac:dyDescent="0.15">
      <c r="B32" s="4" t="s">
        <v>64</v>
      </c>
      <c r="D32" s="30">
        <v>21747715</v>
      </c>
      <c r="E32" s="26">
        <v>30760201</v>
      </c>
      <c r="F32" s="3">
        <v>38992842</v>
      </c>
      <c r="G32" s="3">
        <v>46203906</v>
      </c>
      <c r="H32" s="3">
        <v>47061082</v>
      </c>
    </row>
    <row r="33" spans="2:8" ht="13" x14ac:dyDescent="0.15">
      <c r="B33" s="4" t="s">
        <v>65</v>
      </c>
      <c r="D33" s="30">
        <v>14192552</v>
      </c>
      <c r="E33" s="26">
        <v>14537076</v>
      </c>
      <c r="F33" s="3">
        <v>11242499</v>
      </c>
      <c r="G33" s="3">
        <v>16300463</v>
      </c>
      <c r="H33" s="3">
        <v>22335624</v>
      </c>
    </row>
    <row r="34" spans="2:8" ht="13" x14ac:dyDescent="0.15">
      <c r="B34" s="2" t="s">
        <v>66</v>
      </c>
      <c r="D34" s="31">
        <f t="shared" ref="D34:H34" si="3">SUM(D28:D33)</f>
        <v>104520509</v>
      </c>
      <c r="E34" s="26">
        <f t="shared" si="3"/>
        <v>159954385</v>
      </c>
      <c r="F34" s="26">
        <f t="shared" si="3"/>
        <v>193680755</v>
      </c>
      <c r="G34" s="26">
        <f t="shared" si="3"/>
        <v>209699048</v>
      </c>
      <c r="H34" s="26">
        <f t="shared" si="3"/>
        <v>226471864</v>
      </c>
    </row>
    <row r="35" spans="2:8" ht="13" x14ac:dyDescent="0.15">
      <c r="D35" s="26"/>
      <c r="E35" s="26"/>
      <c r="F35" s="3"/>
      <c r="G35" s="3"/>
      <c r="H35" s="3"/>
    </row>
    <row r="36" spans="2:8" ht="13" x14ac:dyDescent="0.15">
      <c r="B36" s="4" t="s">
        <v>67</v>
      </c>
      <c r="D36" s="26"/>
      <c r="E36" s="26"/>
      <c r="F36" s="3">
        <v>-366135</v>
      </c>
      <c r="G36" s="3">
        <v>-208671</v>
      </c>
      <c r="H36" s="3">
        <v>62505</v>
      </c>
    </row>
    <row r="37" spans="2:8" ht="16.5" customHeight="1" x14ac:dyDescent="0.15">
      <c r="D37" s="26"/>
      <c r="E37" s="26"/>
      <c r="F37" s="3"/>
      <c r="G37" s="3"/>
      <c r="H37" s="3"/>
    </row>
    <row r="38" spans="2:8" ht="13" x14ac:dyDescent="0.15">
      <c r="B38" s="10" t="s">
        <v>68</v>
      </c>
      <c r="C38" s="11"/>
      <c r="D38" s="28">
        <f t="shared" ref="D38:H38" si="4">D34+D36</f>
        <v>104520509</v>
      </c>
      <c r="E38" s="28">
        <f t="shared" si="4"/>
        <v>159954385</v>
      </c>
      <c r="F38" s="28">
        <f t="shared" si="4"/>
        <v>193314620</v>
      </c>
      <c r="G38" s="28">
        <f t="shared" si="4"/>
        <v>209490377</v>
      </c>
      <c r="H38" s="28">
        <f t="shared" si="4"/>
        <v>226534369</v>
      </c>
    </row>
    <row r="39" spans="2:8" ht="13" x14ac:dyDescent="0.15">
      <c r="D39" s="26"/>
      <c r="E39" s="26"/>
      <c r="F39" s="3"/>
      <c r="G39" s="3"/>
      <c r="H39" s="3"/>
    </row>
    <row r="40" spans="2:8" ht="13" x14ac:dyDescent="0.15">
      <c r="B40" s="2" t="s">
        <v>69</v>
      </c>
      <c r="D40" s="26"/>
      <c r="E40" s="26"/>
      <c r="F40" s="3"/>
      <c r="G40" s="3"/>
      <c r="H40" s="3"/>
    </row>
    <row r="41" spans="2:8" ht="13" x14ac:dyDescent="0.15">
      <c r="B41" s="4" t="s">
        <v>70</v>
      </c>
      <c r="D41" s="26">
        <v>23806909</v>
      </c>
      <c r="E41" s="26">
        <v>135725740</v>
      </c>
      <c r="F41" s="3">
        <v>152393087</v>
      </c>
      <c r="G41" s="3">
        <v>143336515</v>
      </c>
      <c r="H41" s="3">
        <v>133529737</v>
      </c>
    </row>
    <row r="42" spans="2:8" ht="13" x14ac:dyDescent="0.15">
      <c r="B42" s="4" t="s">
        <v>71</v>
      </c>
      <c r="D42" s="26">
        <v>8821241</v>
      </c>
      <c r="E42" s="26">
        <v>10891065</v>
      </c>
      <c r="F42" s="3">
        <v>13959419</v>
      </c>
      <c r="G42" s="3">
        <v>12107779</v>
      </c>
      <c r="H42" s="3">
        <v>10048538</v>
      </c>
    </row>
    <row r="43" spans="2:8" ht="13" x14ac:dyDescent="0.15">
      <c r="B43" s="4" t="s">
        <v>72</v>
      </c>
      <c r="D43" s="26">
        <v>621328</v>
      </c>
      <c r="E43" s="26">
        <v>1212286</v>
      </c>
      <c r="F43" s="3">
        <v>1443925</v>
      </c>
      <c r="G43" s="3">
        <v>1654245</v>
      </c>
      <c r="H43" s="3">
        <v>1548228</v>
      </c>
    </row>
    <row r="44" spans="2:8" ht="13" x14ac:dyDescent="0.15">
      <c r="B44" s="4" t="s">
        <v>73</v>
      </c>
      <c r="D44" s="26">
        <v>260141</v>
      </c>
      <c r="E44" s="26">
        <v>333891</v>
      </c>
      <c r="F44" s="3">
        <v>288172</v>
      </c>
      <c r="G44" s="3">
        <v>300637</v>
      </c>
      <c r="H44" s="3">
        <v>165610</v>
      </c>
    </row>
    <row r="45" spans="2:8" ht="13" x14ac:dyDescent="0.15">
      <c r="B45" s="4" t="s">
        <v>74</v>
      </c>
      <c r="D45" s="26">
        <v>9874128</v>
      </c>
      <c r="E45" s="26">
        <v>9966431</v>
      </c>
      <c r="F45" s="3">
        <v>9434874</v>
      </c>
      <c r="G45" s="3">
        <v>9490667</v>
      </c>
      <c r="H45" s="3">
        <v>9379847</v>
      </c>
    </row>
    <row r="46" spans="2:8" ht="13" x14ac:dyDescent="0.15">
      <c r="B46" s="10" t="s">
        <v>75</v>
      </c>
      <c r="C46" s="11"/>
      <c r="D46" s="28">
        <f t="shared" ref="D46:H46" si="5">SUM(D40:D45)</f>
        <v>43383747</v>
      </c>
      <c r="E46" s="28">
        <f t="shared" si="5"/>
        <v>158129413</v>
      </c>
      <c r="F46" s="28">
        <f t="shared" si="5"/>
        <v>177519477</v>
      </c>
      <c r="G46" s="28">
        <f t="shared" si="5"/>
        <v>166889843</v>
      </c>
      <c r="H46" s="28">
        <f t="shared" si="5"/>
        <v>154671960</v>
      </c>
    </row>
    <row r="47" spans="2:8" ht="13" x14ac:dyDescent="0.15">
      <c r="D47" s="26"/>
      <c r="E47" s="26"/>
      <c r="F47" s="3"/>
      <c r="G47" s="3"/>
      <c r="H47" s="3"/>
    </row>
    <row r="48" spans="2:8" ht="14" x14ac:dyDescent="0.15">
      <c r="B48" s="25"/>
      <c r="D48" s="26"/>
      <c r="E48" s="26"/>
      <c r="F48" s="3"/>
      <c r="G48" s="3"/>
      <c r="H48" s="3"/>
    </row>
    <row r="49" spans="2:8" ht="13" x14ac:dyDescent="0.15">
      <c r="B49" s="4" t="s">
        <v>76</v>
      </c>
      <c r="D49" s="26">
        <v>10076307</v>
      </c>
      <c r="E49" s="26">
        <v>32467349</v>
      </c>
      <c r="F49" s="3">
        <v>38827981</v>
      </c>
      <c r="G49" s="3">
        <v>28805836</v>
      </c>
      <c r="H49" s="3">
        <v>2450424</v>
      </c>
    </row>
    <row r="50" spans="2:8" ht="13" x14ac:dyDescent="0.15">
      <c r="B50" s="4" t="s">
        <v>71</v>
      </c>
      <c r="D50" s="26">
        <v>1088147</v>
      </c>
      <c r="E50" s="26">
        <v>2388122</v>
      </c>
      <c r="F50" s="3">
        <v>3089661</v>
      </c>
      <c r="G50" s="3">
        <v>3106456</v>
      </c>
      <c r="H50" s="3">
        <v>3316648</v>
      </c>
    </row>
    <row r="51" spans="2:8" ht="13" x14ac:dyDescent="0.15">
      <c r="B51" s="4" t="s">
        <v>77</v>
      </c>
      <c r="D51" s="26">
        <v>56808562</v>
      </c>
      <c r="E51" s="26">
        <v>137367109</v>
      </c>
      <c r="F51" s="3">
        <v>136717241</v>
      </c>
      <c r="G51" s="3">
        <v>113789742</v>
      </c>
      <c r="H51" s="3">
        <v>94697725</v>
      </c>
    </row>
    <row r="52" spans="2:8" ht="13" x14ac:dyDescent="0.15">
      <c r="B52" s="4" t="s">
        <v>78</v>
      </c>
      <c r="D52" s="26">
        <v>4166831</v>
      </c>
      <c r="E52" s="26">
        <v>9507718</v>
      </c>
      <c r="F52" s="3">
        <v>8938396</v>
      </c>
      <c r="G52" s="3">
        <v>10758709</v>
      </c>
      <c r="H52" s="3">
        <v>10093388</v>
      </c>
    </row>
    <row r="53" spans="2:8" ht="13" x14ac:dyDescent="0.15">
      <c r="B53" s="4" t="s">
        <v>79</v>
      </c>
      <c r="D53" s="26">
        <v>2096405</v>
      </c>
      <c r="E53" s="26">
        <v>1332487</v>
      </c>
      <c r="F53" s="3">
        <v>2909575</v>
      </c>
      <c r="G53" s="3">
        <v>4215509</v>
      </c>
      <c r="H53" s="3">
        <v>7840742</v>
      </c>
    </row>
    <row r="54" spans="2:8" ht="13" x14ac:dyDescent="0.15">
      <c r="B54" s="4" t="s">
        <v>73</v>
      </c>
      <c r="D54" s="26"/>
      <c r="E54" s="26"/>
      <c r="F54" s="3"/>
      <c r="G54" s="3"/>
      <c r="H54" s="3"/>
    </row>
    <row r="55" spans="2:8" ht="13" x14ac:dyDescent="0.15">
      <c r="B55" s="4" t="s">
        <v>80</v>
      </c>
      <c r="D55" s="26"/>
      <c r="E55" s="26"/>
      <c r="F55" s="3"/>
      <c r="G55" s="3"/>
      <c r="H55" s="3"/>
    </row>
    <row r="56" spans="2:8" ht="13" x14ac:dyDescent="0.15">
      <c r="B56" s="2" t="s">
        <v>81</v>
      </c>
      <c r="D56" s="26">
        <f t="shared" ref="D56:H56" si="6">SUM(D49:D55)</f>
        <v>74236252</v>
      </c>
      <c r="E56" s="26">
        <f t="shared" si="6"/>
        <v>183062785</v>
      </c>
      <c r="F56" s="26">
        <f t="shared" si="6"/>
        <v>190482854</v>
      </c>
      <c r="G56" s="26">
        <f t="shared" si="6"/>
        <v>160676252</v>
      </c>
      <c r="H56" s="26">
        <f t="shared" si="6"/>
        <v>118398927</v>
      </c>
    </row>
    <row r="57" spans="2:8" ht="13" x14ac:dyDescent="0.15">
      <c r="B57" s="4"/>
      <c r="D57" s="26"/>
      <c r="E57" s="26"/>
      <c r="F57" s="3"/>
      <c r="G57" s="3"/>
      <c r="H57" s="3"/>
    </row>
    <row r="58" spans="2:8" ht="13" x14ac:dyDescent="0.15">
      <c r="B58" s="4" t="s">
        <v>82</v>
      </c>
      <c r="D58" s="26"/>
      <c r="E58" s="26"/>
      <c r="F58" s="3"/>
      <c r="G58" s="3"/>
      <c r="H58" s="3"/>
    </row>
    <row r="59" spans="2:8" ht="13" x14ac:dyDescent="0.15">
      <c r="D59" s="26"/>
      <c r="E59" s="26"/>
      <c r="F59" s="3"/>
      <c r="G59" s="3"/>
      <c r="H59" s="3"/>
    </row>
    <row r="60" spans="2:8" ht="14" x14ac:dyDescent="0.15">
      <c r="B60" s="16" t="s">
        <v>83</v>
      </c>
      <c r="C60" s="11"/>
      <c r="D60" s="28">
        <f t="shared" ref="D60:H60" si="7">SUM(D38,D46,D56)</f>
        <v>222140508</v>
      </c>
      <c r="E60" s="28">
        <f t="shared" si="7"/>
        <v>501146583</v>
      </c>
      <c r="F60" s="28">
        <f t="shared" si="7"/>
        <v>561316951</v>
      </c>
      <c r="G60" s="28">
        <f t="shared" si="7"/>
        <v>537056472</v>
      </c>
      <c r="H60" s="28">
        <f t="shared" si="7"/>
        <v>499605256</v>
      </c>
    </row>
    <row r="61" spans="2:8" ht="13" x14ac:dyDescent="0.15">
      <c r="D61" s="26"/>
      <c r="E61" s="26"/>
      <c r="F61" s="3"/>
      <c r="G61" s="3"/>
      <c r="H61" s="3"/>
    </row>
    <row r="62" spans="2:8" ht="13" x14ac:dyDescent="0.15">
      <c r="D62" s="26"/>
      <c r="E62" s="26"/>
      <c r="F62" s="3"/>
      <c r="G62" s="3"/>
      <c r="H62" s="3"/>
    </row>
    <row r="63" spans="2:8" ht="13" x14ac:dyDescent="0.15">
      <c r="D63" s="26"/>
      <c r="E63" s="26"/>
      <c r="F63" s="3"/>
      <c r="G63" s="3"/>
      <c r="H63" s="3"/>
    </row>
    <row r="64" spans="2:8" ht="13" x14ac:dyDescent="0.15">
      <c r="D64" s="26"/>
      <c r="E64" s="26"/>
      <c r="F64" s="3"/>
      <c r="G64" s="3"/>
      <c r="H64" s="3"/>
    </row>
    <row r="65" spans="4:8" ht="13" x14ac:dyDescent="0.15">
      <c r="D65" s="26"/>
      <c r="E65" s="26"/>
      <c r="F65" s="3"/>
      <c r="G65" s="3"/>
      <c r="H65" s="3"/>
    </row>
    <row r="66" spans="4:8" ht="13" x14ac:dyDescent="0.15">
      <c r="D66" s="26"/>
      <c r="E66" s="26"/>
      <c r="F66" s="3"/>
      <c r="G66" s="3"/>
      <c r="H66" s="3"/>
    </row>
    <row r="67" spans="4:8" ht="13" x14ac:dyDescent="0.15">
      <c r="D67" s="26"/>
      <c r="E67" s="26"/>
      <c r="F67" s="3"/>
      <c r="G67" s="3"/>
      <c r="H67" s="3"/>
    </row>
    <row r="68" spans="4:8" ht="13" x14ac:dyDescent="0.15">
      <c r="D68" s="26"/>
      <c r="E68" s="26"/>
      <c r="F68" s="3"/>
      <c r="G68" s="3"/>
      <c r="H68" s="3"/>
    </row>
    <row r="69" spans="4:8" ht="13" x14ac:dyDescent="0.15">
      <c r="D69" s="26"/>
      <c r="E69" s="26"/>
      <c r="F69" s="3"/>
      <c r="G69" s="3"/>
      <c r="H69" s="3"/>
    </row>
    <row r="70" spans="4:8" ht="13" x14ac:dyDescent="0.15">
      <c r="D70" s="26"/>
      <c r="E70" s="26"/>
      <c r="F70" s="3"/>
      <c r="G70" s="3"/>
      <c r="H70" s="3"/>
    </row>
    <row r="71" spans="4:8" ht="13" x14ac:dyDescent="0.15">
      <c r="D71" s="26"/>
      <c r="E71" s="26"/>
      <c r="F71" s="3"/>
      <c r="G71" s="3"/>
      <c r="H71" s="3"/>
    </row>
    <row r="72" spans="4:8" ht="13" x14ac:dyDescent="0.15">
      <c r="D72" s="26"/>
      <c r="E72" s="26"/>
      <c r="F72" s="3"/>
      <c r="G72" s="3"/>
      <c r="H72" s="3"/>
    </row>
    <row r="73" spans="4:8" ht="13" x14ac:dyDescent="0.15">
      <c r="D73" s="26"/>
      <c r="E73" s="26"/>
      <c r="F73" s="3"/>
      <c r="G73" s="3"/>
      <c r="H73" s="3"/>
    </row>
    <row r="74" spans="4:8" ht="13" x14ac:dyDescent="0.15">
      <c r="D74" s="26"/>
      <c r="E74" s="26"/>
      <c r="F74" s="3"/>
      <c r="G74" s="3"/>
      <c r="H74" s="3"/>
    </row>
    <row r="75" spans="4:8" ht="13" x14ac:dyDescent="0.15">
      <c r="D75" s="26"/>
      <c r="E75" s="26"/>
      <c r="F75" s="3"/>
      <c r="G75" s="3"/>
      <c r="H75" s="3"/>
    </row>
    <row r="76" spans="4:8" ht="13" x14ac:dyDescent="0.15">
      <c r="D76" s="26"/>
      <c r="E76" s="26"/>
      <c r="F76" s="3"/>
      <c r="G76" s="3"/>
      <c r="H76" s="3"/>
    </row>
    <row r="77" spans="4:8" ht="13" x14ac:dyDescent="0.15">
      <c r="D77" s="26"/>
      <c r="E77" s="26"/>
      <c r="F77" s="3"/>
      <c r="G77" s="3"/>
      <c r="H77" s="3"/>
    </row>
    <row r="78" spans="4:8" ht="13" x14ac:dyDescent="0.15">
      <c r="D78" s="26"/>
      <c r="E78" s="26"/>
      <c r="F78" s="3"/>
      <c r="G78" s="3"/>
      <c r="H78" s="3"/>
    </row>
    <row r="79" spans="4:8" ht="13" x14ac:dyDescent="0.15">
      <c r="D79" s="26"/>
      <c r="E79" s="26"/>
      <c r="F79" s="3"/>
      <c r="G79" s="3"/>
      <c r="H79" s="3"/>
    </row>
    <row r="80" spans="4:8" ht="13" x14ac:dyDescent="0.15">
      <c r="D80" s="26"/>
      <c r="E80" s="26"/>
      <c r="F80" s="3"/>
      <c r="G80" s="3"/>
      <c r="H80" s="3"/>
    </row>
    <row r="81" spans="4:8" ht="13" x14ac:dyDescent="0.15">
      <c r="D81" s="26"/>
      <c r="E81" s="26"/>
      <c r="F81" s="3"/>
      <c r="G81" s="3"/>
      <c r="H81" s="3"/>
    </row>
    <row r="82" spans="4:8" ht="13" x14ac:dyDescent="0.15">
      <c r="D82" s="26"/>
      <c r="E82" s="26"/>
      <c r="F82" s="3"/>
      <c r="G82" s="3"/>
      <c r="H82" s="3"/>
    </row>
    <row r="83" spans="4:8" ht="13" x14ac:dyDescent="0.15">
      <c r="D83" s="26"/>
      <c r="E83" s="26"/>
      <c r="F83" s="3"/>
      <c r="G83" s="3"/>
      <c r="H83" s="3"/>
    </row>
    <row r="84" spans="4:8" ht="13" x14ac:dyDescent="0.15">
      <c r="D84" s="26"/>
      <c r="E84" s="26"/>
      <c r="F84" s="3"/>
      <c r="G84" s="3"/>
      <c r="H84" s="3"/>
    </row>
    <row r="85" spans="4:8" ht="13" x14ac:dyDescent="0.15">
      <c r="D85" s="26"/>
      <c r="E85" s="26"/>
      <c r="F85" s="3"/>
      <c r="G85" s="3"/>
      <c r="H85" s="3"/>
    </row>
    <row r="86" spans="4:8" ht="13" x14ac:dyDescent="0.15">
      <c r="D86" s="26"/>
      <c r="E86" s="26"/>
      <c r="F86" s="3"/>
      <c r="G86" s="3"/>
      <c r="H86" s="3"/>
    </row>
    <row r="87" spans="4:8" ht="13" x14ac:dyDescent="0.15">
      <c r="D87" s="26"/>
      <c r="E87" s="26"/>
      <c r="F87" s="3"/>
      <c r="G87" s="3"/>
      <c r="H87" s="3"/>
    </row>
    <row r="88" spans="4:8" ht="13" x14ac:dyDescent="0.15">
      <c r="D88" s="26"/>
      <c r="E88" s="26"/>
      <c r="F88" s="3"/>
      <c r="G88" s="3"/>
      <c r="H88" s="3"/>
    </row>
    <row r="89" spans="4:8" ht="13" x14ac:dyDescent="0.15">
      <c r="D89" s="26"/>
      <c r="E89" s="26"/>
      <c r="F89" s="3"/>
      <c r="G89" s="3"/>
      <c r="H89" s="3"/>
    </row>
    <row r="90" spans="4:8" ht="13" x14ac:dyDescent="0.15">
      <c r="D90" s="26"/>
      <c r="E90" s="26"/>
      <c r="F90" s="3"/>
      <c r="G90" s="3"/>
      <c r="H90" s="3"/>
    </row>
    <row r="91" spans="4:8" ht="13" x14ac:dyDescent="0.15">
      <c r="D91" s="26"/>
      <c r="E91" s="26"/>
      <c r="F91" s="3"/>
      <c r="G91" s="3"/>
      <c r="H91" s="3"/>
    </row>
    <row r="92" spans="4:8" ht="13" x14ac:dyDescent="0.15">
      <c r="D92" s="26"/>
      <c r="E92" s="26"/>
      <c r="F92" s="3"/>
      <c r="G92" s="3"/>
      <c r="H92" s="3"/>
    </row>
    <row r="93" spans="4:8" ht="13" x14ac:dyDescent="0.15">
      <c r="D93" s="26"/>
      <c r="E93" s="26"/>
      <c r="F93" s="3"/>
      <c r="G93" s="3"/>
      <c r="H93" s="3"/>
    </row>
    <row r="94" spans="4:8" ht="13" x14ac:dyDescent="0.15">
      <c r="D94" s="26"/>
      <c r="E94" s="26"/>
      <c r="F94" s="3"/>
      <c r="G94" s="3"/>
      <c r="H94" s="3"/>
    </row>
    <row r="95" spans="4:8" ht="13" x14ac:dyDescent="0.15">
      <c r="D95" s="26"/>
      <c r="E95" s="26"/>
      <c r="F95" s="3"/>
      <c r="G95" s="3"/>
      <c r="H95" s="3"/>
    </row>
    <row r="96" spans="4:8" ht="13" x14ac:dyDescent="0.15">
      <c r="D96" s="26"/>
      <c r="E96" s="26"/>
      <c r="F96" s="3"/>
      <c r="G96" s="3"/>
      <c r="H96" s="3"/>
    </row>
    <row r="97" spans="4:8" ht="13" x14ac:dyDescent="0.15">
      <c r="D97" s="26"/>
      <c r="E97" s="26"/>
      <c r="F97" s="3"/>
      <c r="G97" s="3"/>
      <c r="H97" s="3"/>
    </row>
    <row r="98" spans="4:8" ht="13" x14ac:dyDescent="0.15">
      <c r="D98" s="26"/>
      <c r="E98" s="26"/>
      <c r="F98" s="3"/>
      <c r="G98" s="3"/>
      <c r="H98" s="3"/>
    </row>
    <row r="99" spans="4:8" ht="13" x14ac:dyDescent="0.15">
      <c r="D99" s="26"/>
      <c r="E99" s="26"/>
      <c r="F99" s="3"/>
      <c r="G99" s="3"/>
      <c r="H99" s="3"/>
    </row>
    <row r="100" spans="4:8" ht="13" x14ac:dyDescent="0.15">
      <c r="D100" s="26"/>
      <c r="E100" s="26"/>
      <c r="F100" s="3"/>
      <c r="G100" s="3"/>
      <c r="H100" s="3"/>
    </row>
    <row r="101" spans="4:8" ht="13" x14ac:dyDescent="0.15">
      <c r="D101" s="26"/>
      <c r="E101" s="26"/>
      <c r="F101" s="3"/>
      <c r="G101" s="3"/>
      <c r="H101" s="3"/>
    </row>
    <row r="102" spans="4:8" ht="13" x14ac:dyDescent="0.15">
      <c r="D102" s="26"/>
      <c r="E102" s="26"/>
      <c r="F102" s="3"/>
      <c r="G102" s="3"/>
      <c r="H102" s="3"/>
    </row>
    <row r="103" spans="4:8" ht="13" x14ac:dyDescent="0.15">
      <c r="D103" s="26"/>
      <c r="E103" s="26"/>
      <c r="F103" s="3"/>
      <c r="G103" s="3"/>
      <c r="H103" s="3"/>
    </row>
    <row r="104" spans="4:8" ht="13" x14ac:dyDescent="0.15">
      <c r="D104" s="26"/>
      <c r="E104" s="26"/>
      <c r="F104" s="3"/>
      <c r="G104" s="3"/>
      <c r="H104" s="3"/>
    </row>
    <row r="105" spans="4:8" ht="13" x14ac:dyDescent="0.15">
      <c r="D105" s="26"/>
      <c r="E105" s="26"/>
      <c r="F105" s="3"/>
      <c r="G105" s="3"/>
      <c r="H105" s="3"/>
    </row>
    <row r="106" spans="4:8" ht="13" x14ac:dyDescent="0.15">
      <c r="D106" s="26"/>
      <c r="E106" s="26"/>
      <c r="F106" s="3"/>
      <c r="G106" s="3"/>
      <c r="H106" s="3"/>
    </row>
    <row r="107" spans="4:8" ht="13" x14ac:dyDescent="0.15">
      <c r="D107" s="26"/>
      <c r="E107" s="26"/>
      <c r="F107" s="3"/>
      <c r="G107" s="3"/>
      <c r="H107" s="3"/>
    </row>
    <row r="108" spans="4:8" ht="13" x14ac:dyDescent="0.15">
      <c r="D108" s="26"/>
      <c r="E108" s="26"/>
      <c r="F108" s="3"/>
      <c r="G108" s="3"/>
      <c r="H108" s="3"/>
    </row>
    <row r="109" spans="4:8" ht="13" x14ac:dyDescent="0.15">
      <c r="D109" s="26"/>
      <c r="E109" s="26"/>
      <c r="F109" s="3"/>
      <c r="G109" s="3"/>
      <c r="H109" s="3"/>
    </row>
    <row r="110" spans="4:8" ht="13" x14ac:dyDescent="0.15">
      <c r="D110" s="26"/>
      <c r="E110" s="26"/>
      <c r="F110" s="3"/>
      <c r="G110" s="3"/>
      <c r="H110" s="3"/>
    </row>
    <row r="111" spans="4:8" ht="13" x14ac:dyDescent="0.15">
      <c r="D111" s="26"/>
      <c r="E111" s="26"/>
      <c r="F111" s="3"/>
      <c r="G111" s="3"/>
      <c r="H111" s="3"/>
    </row>
    <row r="112" spans="4:8" ht="13" x14ac:dyDescent="0.15">
      <c r="D112" s="26"/>
      <c r="E112" s="26"/>
      <c r="F112" s="3"/>
      <c r="G112" s="3"/>
      <c r="H112" s="3"/>
    </row>
    <row r="113" spans="4:8" ht="13" x14ac:dyDescent="0.15">
      <c r="D113" s="26"/>
      <c r="E113" s="26"/>
      <c r="F113" s="3"/>
      <c r="G113" s="3"/>
      <c r="H113" s="3"/>
    </row>
    <row r="114" spans="4:8" ht="13" x14ac:dyDescent="0.15">
      <c r="D114" s="26"/>
      <c r="E114" s="26"/>
      <c r="F114" s="3"/>
      <c r="G114" s="3"/>
      <c r="H114" s="3"/>
    </row>
    <row r="115" spans="4:8" ht="13" x14ac:dyDescent="0.15">
      <c r="D115" s="26"/>
      <c r="E115" s="26"/>
      <c r="F115" s="3"/>
      <c r="G115" s="3"/>
      <c r="H115" s="3"/>
    </row>
    <row r="116" spans="4:8" ht="13" x14ac:dyDescent="0.15">
      <c r="D116" s="26"/>
      <c r="E116" s="26"/>
      <c r="F116" s="3"/>
      <c r="G116" s="3"/>
      <c r="H116" s="3"/>
    </row>
    <row r="117" spans="4:8" ht="13" x14ac:dyDescent="0.15">
      <c r="D117" s="26"/>
      <c r="E117" s="26"/>
      <c r="F117" s="3"/>
      <c r="G117" s="3"/>
      <c r="H117" s="3"/>
    </row>
    <row r="118" spans="4:8" ht="13" x14ac:dyDescent="0.15">
      <c r="D118" s="26"/>
      <c r="E118" s="26"/>
      <c r="F118" s="3"/>
      <c r="G118" s="3"/>
      <c r="H118" s="3"/>
    </row>
    <row r="119" spans="4:8" ht="13" x14ac:dyDescent="0.15">
      <c r="D119" s="26"/>
      <c r="E119" s="26"/>
      <c r="F119" s="3"/>
      <c r="G119" s="3"/>
      <c r="H119" s="3"/>
    </row>
    <row r="120" spans="4:8" ht="13" x14ac:dyDescent="0.15">
      <c r="D120" s="26"/>
      <c r="E120" s="26"/>
      <c r="F120" s="3"/>
      <c r="G120" s="3"/>
      <c r="H120" s="3"/>
    </row>
    <row r="121" spans="4:8" ht="13" x14ac:dyDescent="0.15">
      <c r="D121" s="26"/>
      <c r="E121" s="26"/>
      <c r="F121" s="3"/>
      <c r="G121" s="3"/>
      <c r="H121" s="3"/>
    </row>
    <row r="122" spans="4:8" ht="13" x14ac:dyDescent="0.15">
      <c r="D122" s="26"/>
      <c r="E122" s="26"/>
      <c r="F122" s="3"/>
      <c r="G122" s="3"/>
      <c r="H122" s="3"/>
    </row>
    <row r="123" spans="4:8" ht="13" x14ac:dyDescent="0.15">
      <c r="D123" s="26"/>
      <c r="E123" s="26"/>
      <c r="F123" s="3"/>
      <c r="G123" s="3"/>
      <c r="H123" s="3"/>
    </row>
    <row r="124" spans="4:8" ht="13" x14ac:dyDescent="0.15">
      <c r="D124" s="26"/>
      <c r="E124" s="26"/>
      <c r="F124" s="3"/>
      <c r="G124" s="3"/>
      <c r="H124" s="3"/>
    </row>
    <row r="125" spans="4:8" ht="13" x14ac:dyDescent="0.15">
      <c r="D125" s="26"/>
      <c r="E125" s="26"/>
      <c r="F125" s="3"/>
      <c r="G125" s="3"/>
      <c r="H125" s="3"/>
    </row>
    <row r="126" spans="4:8" ht="13" x14ac:dyDescent="0.15">
      <c r="D126" s="26"/>
      <c r="E126" s="26"/>
      <c r="F126" s="3"/>
      <c r="G126" s="3"/>
      <c r="H126" s="3"/>
    </row>
    <row r="127" spans="4:8" ht="13" x14ac:dyDescent="0.15">
      <c r="D127" s="26"/>
      <c r="E127" s="26"/>
      <c r="F127" s="3"/>
      <c r="G127" s="3"/>
      <c r="H127" s="3"/>
    </row>
    <row r="128" spans="4:8" ht="13" x14ac:dyDescent="0.15">
      <c r="D128" s="26"/>
      <c r="E128" s="26"/>
      <c r="F128" s="3"/>
      <c r="G128" s="3"/>
      <c r="H128" s="3"/>
    </row>
    <row r="129" spans="4:8" ht="13" x14ac:dyDescent="0.15">
      <c r="D129" s="26"/>
      <c r="E129" s="26"/>
      <c r="F129" s="3"/>
      <c r="G129" s="3"/>
      <c r="H129" s="3"/>
    </row>
    <row r="130" spans="4:8" ht="13" x14ac:dyDescent="0.15">
      <c r="D130" s="26"/>
      <c r="E130" s="26"/>
      <c r="F130" s="3"/>
      <c r="G130" s="3"/>
      <c r="H130" s="3"/>
    </row>
    <row r="131" spans="4:8" ht="13" x14ac:dyDescent="0.15">
      <c r="D131" s="26"/>
      <c r="E131" s="26"/>
      <c r="F131" s="3"/>
      <c r="G131" s="3"/>
      <c r="H131" s="3"/>
    </row>
    <row r="132" spans="4:8" ht="13" x14ac:dyDescent="0.15">
      <c r="D132" s="26"/>
      <c r="E132" s="26"/>
      <c r="F132" s="3"/>
      <c r="G132" s="3"/>
      <c r="H132" s="3"/>
    </row>
    <row r="133" spans="4:8" ht="13" x14ac:dyDescent="0.15">
      <c r="D133" s="26"/>
      <c r="E133" s="26"/>
      <c r="F133" s="3"/>
      <c r="G133" s="3"/>
      <c r="H133" s="3"/>
    </row>
    <row r="134" spans="4:8" ht="13" x14ac:dyDescent="0.15">
      <c r="D134" s="26"/>
      <c r="E134" s="26"/>
      <c r="F134" s="3"/>
      <c r="G134" s="3"/>
      <c r="H134" s="3"/>
    </row>
    <row r="135" spans="4:8" ht="13" x14ac:dyDescent="0.15">
      <c r="D135" s="26"/>
      <c r="E135" s="26"/>
      <c r="F135" s="3"/>
      <c r="G135" s="3"/>
      <c r="H135" s="3"/>
    </row>
    <row r="136" spans="4:8" ht="13" x14ac:dyDescent="0.15">
      <c r="D136" s="26"/>
      <c r="E136" s="26"/>
      <c r="F136" s="3"/>
      <c r="G136" s="3"/>
      <c r="H136" s="3"/>
    </row>
    <row r="137" spans="4:8" ht="13" x14ac:dyDescent="0.15">
      <c r="D137" s="26"/>
      <c r="E137" s="26"/>
      <c r="F137" s="3"/>
      <c r="G137" s="3"/>
      <c r="H137" s="3"/>
    </row>
    <row r="138" spans="4:8" ht="13" x14ac:dyDescent="0.15">
      <c r="D138" s="26"/>
      <c r="E138" s="26"/>
      <c r="F138" s="3"/>
      <c r="G138" s="3"/>
      <c r="H138" s="3"/>
    </row>
    <row r="139" spans="4:8" ht="13" x14ac:dyDescent="0.15">
      <c r="D139" s="26"/>
      <c r="E139" s="26"/>
      <c r="F139" s="3"/>
      <c r="G139" s="3"/>
      <c r="H139" s="3"/>
    </row>
    <row r="140" spans="4:8" ht="13" x14ac:dyDescent="0.15">
      <c r="D140" s="26"/>
      <c r="E140" s="26"/>
      <c r="F140" s="3"/>
      <c r="G140" s="3"/>
      <c r="H140" s="3"/>
    </row>
    <row r="141" spans="4:8" ht="13" x14ac:dyDescent="0.15">
      <c r="D141" s="26"/>
      <c r="E141" s="26"/>
      <c r="F141" s="3"/>
      <c r="G141" s="3"/>
      <c r="H141" s="3"/>
    </row>
    <row r="142" spans="4:8" ht="13" x14ac:dyDescent="0.15">
      <c r="D142" s="26"/>
      <c r="E142" s="26"/>
      <c r="F142" s="3"/>
      <c r="G142" s="3"/>
      <c r="H142" s="3"/>
    </row>
    <row r="143" spans="4:8" ht="13" x14ac:dyDescent="0.15">
      <c r="D143" s="26"/>
      <c r="E143" s="26"/>
      <c r="F143" s="3"/>
      <c r="G143" s="3"/>
      <c r="H143" s="3"/>
    </row>
    <row r="144" spans="4:8" ht="13" x14ac:dyDescent="0.15">
      <c r="D144" s="26"/>
      <c r="E144" s="26"/>
      <c r="F144" s="3"/>
      <c r="G144" s="3"/>
      <c r="H144" s="3"/>
    </row>
    <row r="145" spans="4:8" ht="13" x14ac:dyDescent="0.15">
      <c r="D145" s="26"/>
      <c r="E145" s="26"/>
      <c r="F145" s="3"/>
      <c r="G145" s="3"/>
      <c r="H145" s="3"/>
    </row>
    <row r="146" spans="4:8" ht="13" x14ac:dyDescent="0.15">
      <c r="D146" s="26"/>
      <c r="E146" s="26"/>
      <c r="F146" s="3"/>
      <c r="G146" s="3"/>
      <c r="H146" s="3"/>
    </row>
    <row r="147" spans="4:8" ht="13" x14ac:dyDescent="0.15">
      <c r="D147" s="26"/>
      <c r="E147" s="26"/>
      <c r="F147" s="3"/>
      <c r="G147" s="3"/>
      <c r="H147" s="3"/>
    </row>
    <row r="148" spans="4:8" ht="13" x14ac:dyDescent="0.15">
      <c r="D148" s="26"/>
      <c r="E148" s="26"/>
      <c r="F148" s="3"/>
      <c r="G148" s="3"/>
      <c r="H148" s="3"/>
    </row>
    <row r="149" spans="4:8" ht="13" x14ac:dyDescent="0.15">
      <c r="D149" s="26"/>
      <c r="E149" s="26"/>
      <c r="F149" s="3"/>
      <c r="G149" s="3"/>
      <c r="H149" s="3"/>
    </row>
    <row r="150" spans="4:8" ht="13" x14ac:dyDescent="0.15">
      <c r="D150" s="26"/>
      <c r="E150" s="26"/>
      <c r="F150" s="3"/>
      <c r="G150" s="3"/>
      <c r="H150" s="3"/>
    </row>
    <row r="151" spans="4:8" ht="13" x14ac:dyDescent="0.15">
      <c r="D151" s="26"/>
      <c r="E151" s="26"/>
      <c r="F151" s="3"/>
      <c r="G151" s="3"/>
      <c r="H151" s="3"/>
    </row>
    <row r="152" spans="4:8" ht="13" x14ac:dyDescent="0.15">
      <c r="D152" s="26"/>
      <c r="E152" s="26"/>
      <c r="F152" s="3"/>
      <c r="G152" s="3"/>
      <c r="H152" s="3"/>
    </row>
    <row r="153" spans="4:8" ht="13" x14ac:dyDescent="0.15">
      <c r="D153" s="26"/>
      <c r="E153" s="26"/>
      <c r="F153" s="3"/>
      <c r="G153" s="3"/>
      <c r="H153" s="3"/>
    </row>
    <row r="154" spans="4:8" ht="13" x14ac:dyDescent="0.15">
      <c r="D154" s="26"/>
      <c r="E154" s="26"/>
      <c r="F154" s="3"/>
      <c r="G154" s="3"/>
      <c r="H154" s="3"/>
    </row>
    <row r="155" spans="4:8" ht="13" x14ac:dyDescent="0.15">
      <c r="D155" s="26"/>
      <c r="E155" s="26"/>
      <c r="F155" s="3"/>
      <c r="G155" s="3"/>
      <c r="H155" s="3"/>
    </row>
    <row r="156" spans="4:8" ht="13" x14ac:dyDescent="0.15">
      <c r="D156" s="26"/>
      <c r="E156" s="26"/>
      <c r="F156" s="3"/>
      <c r="G156" s="3"/>
      <c r="H156" s="3"/>
    </row>
    <row r="157" spans="4:8" ht="13" x14ac:dyDescent="0.15">
      <c r="D157" s="26"/>
      <c r="E157" s="26"/>
      <c r="F157" s="3"/>
      <c r="G157" s="3"/>
      <c r="H157" s="3"/>
    </row>
    <row r="158" spans="4:8" ht="13" x14ac:dyDescent="0.15">
      <c r="D158" s="26"/>
      <c r="E158" s="26"/>
      <c r="F158" s="3"/>
      <c r="G158" s="3"/>
      <c r="H158" s="3"/>
    </row>
    <row r="159" spans="4:8" ht="13" x14ac:dyDescent="0.15">
      <c r="D159" s="26"/>
      <c r="E159" s="26"/>
      <c r="F159" s="3"/>
      <c r="G159" s="3"/>
      <c r="H159" s="3"/>
    </row>
    <row r="160" spans="4:8" ht="13" x14ac:dyDescent="0.15">
      <c r="D160" s="26"/>
      <c r="E160" s="26"/>
      <c r="F160" s="3"/>
      <c r="G160" s="3"/>
      <c r="H160" s="3"/>
    </row>
    <row r="161" spans="4:8" ht="13" x14ac:dyDescent="0.15">
      <c r="D161" s="26"/>
      <c r="E161" s="26"/>
      <c r="F161" s="3"/>
      <c r="G161" s="3"/>
      <c r="H161" s="3"/>
    </row>
    <row r="162" spans="4:8" ht="13" x14ac:dyDescent="0.15">
      <c r="D162" s="26"/>
      <c r="E162" s="26"/>
      <c r="F162" s="3"/>
      <c r="G162" s="3"/>
      <c r="H162" s="3"/>
    </row>
    <row r="163" spans="4:8" ht="13" x14ac:dyDescent="0.15">
      <c r="D163" s="26"/>
      <c r="E163" s="26"/>
      <c r="F163" s="3"/>
      <c r="G163" s="3"/>
      <c r="H163" s="3"/>
    </row>
    <row r="164" spans="4:8" ht="13" x14ac:dyDescent="0.15">
      <c r="D164" s="26"/>
      <c r="E164" s="26"/>
      <c r="F164" s="3"/>
      <c r="G164" s="3"/>
      <c r="H164" s="3"/>
    </row>
    <row r="165" spans="4:8" ht="13" x14ac:dyDescent="0.15">
      <c r="D165" s="26"/>
      <c r="E165" s="26"/>
      <c r="F165" s="3"/>
      <c r="G165" s="3"/>
      <c r="H165" s="3"/>
    </row>
    <row r="166" spans="4:8" ht="13" x14ac:dyDescent="0.15">
      <c r="D166" s="26"/>
      <c r="E166" s="26"/>
      <c r="F166" s="3"/>
      <c r="G166" s="3"/>
      <c r="H166" s="3"/>
    </row>
    <row r="167" spans="4:8" ht="13" x14ac:dyDescent="0.15">
      <c r="D167" s="26"/>
      <c r="E167" s="26"/>
      <c r="F167" s="3"/>
      <c r="G167" s="3"/>
      <c r="H167" s="3"/>
    </row>
    <row r="168" spans="4:8" ht="13" x14ac:dyDescent="0.15">
      <c r="D168" s="26"/>
      <c r="E168" s="26"/>
      <c r="F168" s="3"/>
      <c r="G168" s="3"/>
      <c r="H168" s="3"/>
    </row>
    <row r="169" spans="4:8" ht="13" x14ac:dyDescent="0.15">
      <c r="D169" s="26"/>
      <c r="E169" s="26"/>
      <c r="F169" s="3"/>
      <c r="G169" s="3"/>
      <c r="H169" s="3"/>
    </row>
    <row r="170" spans="4:8" ht="13" x14ac:dyDescent="0.15">
      <c r="D170" s="26"/>
      <c r="E170" s="26"/>
      <c r="F170" s="3"/>
      <c r="G170" s="3"/>
      <c r="H170" s="3"/>
    </row>
    <row r="171" spans="4:8" ht="13" x14ac:dyDescent="0.15">
      <c r="D171" s="26"/>
      <c r="E171" s="26"/>
      <c r="F171" s="3"/>
      <c r="G171" s="3"/>
      <c r="H171" s="3"/>
    </row>
    <row r="172" spans="4:8" ht="13" x14ac:dyDescent="0.15">
      <c r="D172" s="26"/>
      <c r="E172" s="26"/>
      <c r="F172" s="3"/>
      <c r="G172" s="3"/>
      <c r="H172" s="3"/>
    </row>
    <row r="173" spans="4:8" ht="13" x14ac:dyDescent="0.15">
      <c r="D173" s="26"/>
      <c r="E173" s="26"/>
      <c r="F173" s="3"/>
      <c r="G173" s="3"/>
      <c r="H173" s="3"/>
    </row>
    <row r="174" spans="4:8" ht="13" x14ac:dyDescent="0.15">
      <c r="D174" s="26"/>
      <c r="E174" s="26"/>
      <c r="F174" s="3"/>
      <c r="G174" s="3"/>
      <c r="H174" s="3"/>
    </row>
    <row r="175" spans="4:8" ht="13" x14ac:dyDescent="0.15">
      <c r="D175" s="26"/>
      <c r="E175" s="26"/>
      <c r="F175" s="3"/>
      <c r="G175" s="3"/>
      <c r="H175" s="3"/>
    </row>
    <row r="176" spans="4:8" ht="13" x14ac:dyDescent="0.15">
      <c r="D176" s="26"/>
      <c r="E176" s="26"/>
      <c r="F176" s="3"/>
      <c r="G176" s="3"/>
      <c r="H176" s="3"/>
    </row>
    <row r="177" spans="4:8" ht="13" x14ac:dyDescent="0.15">
      <c r="D177" s="26"/>
      <c r="E177" s="26"/>
      <c r="F177" s="3"/>
      <c r="G177" s="3"/>
      <c r="H177" s="3"/>
    </row>
    <row r="178" spans="4:8" ht="13" x14ac:dyDescent="0.15">
      <c r="D178" s="26"/>
      <c r="E178" s="26"/>
      <c r="F178" s="3"/>
      <c r="G178" s="3"/>
      <c r="H178" s="3"/>
    </row>
    <row r="179" spans="4:8" ht="13" x14ac:dyDescent="0.15">
      <c r="D179" s="26"/>
      <c r="E179" s="26"/>
      <c r="F179" s="3"/>
      <c r="G179" s="3"/>
      <c r="H179" s="3"/>
    </row>
    <row r="180" spans="4:8" ht="13" x14ac:dyDescent="0.15">
      <c r="D180" s="26"/>
      <c r="E180" s="26"/>
      <c r="F180" s="3"/>
      <c r="G180" s="3"/>
      <c r="H180" s="3"/>
    </row>
    <row r="181" spans="4:8" ht="13" x14ac:dyDescent="0.15">
      <c r="D181" s="26"/>
      <c r="E181" s="26"/>
      <c r="F181" s="3"/>
      <c r="G181" s="3"/>
      <c r="H181" s="3"/>
    </row>
    <row r="182" spans="4:8" ht="13" x14ac:dyDescent="0.15">
      <c r="D182" s="26"/>
      <c r="E182" s="26"/>
      <c r="F182" s="3"/>
      <c r="G182" s="3"/>
      <c r="H182" s="3"/>
    </row>
    <row r="183" spans="4:8" ht="13" x14ac:dyDescent="0.15">
      <c r="D183" s="26"/>
      <c r="E183" s="26"/>
      <c r="F183" s="3"/>
      <c r="G183" s="3"/>
      <c r="H183" s="3"/>
    </row>
    <row r="184" spans="4:8" ht="13" x14ac:dyDescent="0.15">
      <c r="D184" s="26"/>
      <c r="E184" s="26"/>
      <c r="F184" s="3"/>
      <c r="G184" s="3"/>
      <c r="H184" s="3"/>
    </row>
    <row r="185" spans="4:8" ht="13" x14ac:dyDescent="0.15">
      <c r="D185" s="26"/>
      <c r="E185" s="26"/>
      <c r="F185" s="3"/>
      <c r="G185" s="3"/>
      <c r="H185" s="3"/>
    </row>
    <row r="186" spans="4:8" ht="13" x14ac:dyDescent="0.15">
      <c r="D186" s="26"/>
      <c r="E186" s="26"/>
      <c r="F186" s="3"/>
      <c r="G186" s="3"/>
      <c r="H186" s="3"/>
    </row>
    <row r="187" spans="4:8" ht="13" x14ac:dyDescent="0.15">
      <c r="D187" s="26"/>
      <c r="E187" s="26"/>
      <c r="F187" s="3"/>
      <c r="G187" s="3"/>
      <c r="H187" s="3"/>
    </row>
    <row r="188" spans="4:8" ht="13" x14ac:dyDescent="0.15">
      <c r="D188" s="26"/>
      <c r="E188" s="26"/>
      <c r="F188" s="3"/>
      <c r="G188" s="3"/>
      <c r="H188" s="3"/>
    </row>
    <row r="189" spans="4:8" ht="13" x14ac:dyDescent="0.15">
      <c r="D189" s="26"/>
      <c r="E189" s="26"/>
      <c r="F189" s="3"/>
      <c r="G189" s="3"/>
      <c r="H189" s="3"/>
    </row>
    <row r="190" spans="4:8" ht="13" x14ac:dyDescent="0.15">
      <c r="D190" s="26"/>
      <c r="E190" s="26"/>
      <c r="F190" s="3"/>
      <c r="G190" s="3"/>
      <c r="H190" s="3"/>
    </row>
    <row r="191" spans="4:8" ht="13" x14ac:dyDescent="0.15">
      <c r="D191" s="26"/>
      <c r="E191" s="26"/>
      <c r="F191" s="3"/>
      <c r="G191" s="3"/>
      <c r="H191" s="3"/>
    </row>
    <row r="192" spans="4:8" ht="13" x14ac:dyDescent="0.15">
      <c r="D192" s="26"/>
      <c r="E192" s="26"/>
      <c r="F192" s="3"/>
      <c r="G192" s="3"/>
      <c r="H192" s="3"/>
    </row>
    <row r="193" spans="4:8" ht="13" x14ac:dyDescent="0.15">
      <c r="D193" s="26"/>
      <c r="E193" s="26"/>
      <c r="F193" s="3"/>
      <c r="G193" s="3"/>
      <c r="H193" s="3"/>
    </row>
    <row r="194" spans="4:8" ht="13" x14ac:dyDescent="0.15">
      <c r="D194" s="26"/>
      <c r="E194" s="26"/>
      <c r="F194" s="3"/>
      <c r="G194" s="3"/>
      <c r="H194" s="3"/>
    </row>
    <row r="195" spans="4:8" ht="13" x14ac:dyDescent="0.15">
      <c r="D195" s="26"/>
      <c r="E195" s="26"/>
      <c r="F195" s="3"/>
      <c r="G195" s="3"/>
      <c r="H195" s="3"/>
    </row>
    <row r="196" spans="4:8" ht="13" x14ac:dyDescent="0.15">
      <c r="D196" s="26"/>
      <c r="E196" s="26"/>
      <c r="F196" s="3"/>
      <c r="G196" s="3"/>
      <c r="H196" s="3"/>
    </row>
    <row r="197" spans="4:8" ht="13" x14ac:dyDescent="0.15">
      <c r="D197" s="26"/>
      <c r="E197" s="26"/>
      <c r="F197" s="3"/>
      <c r="G197" s="3"/>
      <c r="H197" s="3"/>
    </row>
    <row r="198" spans="4:8" ht="13" x14ac:dyDescent="0.15">
      <c r="D198" s="26"/>
      <c r="E198" s="26"/>
      <c r="F198" s="3"/>
      <c r="G198" s="3"/>
      <c r="H198" s="3"/>
    </row>
    <row r="199" spans="4:8" ht="13" x14ac:dyDescent="0.15">
      <c r="D199" s="26"/>
      <c r="E199" s="26"/>
      <c r="F199" s="3"/>
      <c r="G199" s="3"/>
      <c r="H199" s="3"/>
    </row>
    <row r="200" spans="4:8" ht="13" x14ac:dyDescent="0.15">
      <c r="D200" s="26"/>
      <c r="E200" s="26"/>
      <c r="F200" s="3"/>
      <c r="G200" s="3"/>
      <c r="H200" s="3"/>
    </row>
    <row r="201" spans="4:8" ht="13" x14ac:dyDescent="0.15">
      <c r="D201" s="26"/>
      <c r="E201" s="26"/>
      <c r="F201" s="3"/>
      <c r="G201" s="3"/>
      <c r="H201" s="3"/>
    </row>
    <row r="202" spans="4:8" ht="13" x14ac:dyDescent="0.15">
      <c r="D202" s="26"/>
      <c r="E202" s="26"/>
      <c r="F202" s="3"/>
      <c r="G202" s="3"/>
      <c r="H202" s="3"/>
    </row>
    <row r="203" spans="4:8" ht="13" x14ac:dyDescent="0.15">
      <c r="D203" s="26"/>
      <c r="E203" s="26"/>
      <c r="F203" s="3"/>
      <c r="G203" s="3"/>
      <c r="H203" s="3"/>
    </row>
    <row r="204" spans="4:8" ht="13" x14ac:dyDescent="0.15">
      <c r="D204" s="26"/>
      <c r="E204" s="26"/>
      <c r="F204" s="3"/>
      <c r="G204" s="3"/>
      <c r="H204" s="3"/>
    </row>
    <row r="205" spans="4:8" ht="13" x14ac:dyDescent="0.15">
      <c r="D205" s="26"/>
      <c r="E205" s="26"/>
      <c r="F205" s="3"/>
      <c r="G205" s="3"/>
      <c r="H205" s="3"/>
    </row>
    <row r="206" spans="4:8" ht="13" x14ac:dyDescent="0.15">
      <c r="D206" s="26"/>
      <c r="E206" s="26"/>
      <c r="F206" s="3"/>
      <c r="G206" s="3"/>
      <c r="H206" s="3"/>
    </row>
    <row r="207" spans="4:8" ht="13" x14ac:dyDescent="0.15">
      <c r="D207" s="26"/>
      <c r="E207" s="26"/>
      <c r="F207" s="3"/>
      <c r="G207" s="3"/>
      <c r="H207" s="3"/>
    </row>
    <row r="208" spans="4:8" ht="13" x14ac:dyDescent="0.15">
      <c r="D208" s="26"/>
      <c r="E208" s="26"/>
      <c r="F208" s="3"/>
      <c r="G208" s="3"/>
      <c r="H208" s="3"/>
    </row>
    <row r="209" spans="4:8" ht="13" x14ac:dyDescent="0.15">
      <c r="D209" s="26"/>
      <c r="E209" s="26"/>
      <c r="F209" s="3"/>
      <c r="G209" s="3"/>
      <c r="H209" s="3"/>
    </row>
    <row r="210" spans="4:8" ht="13" x14ac:dyDescent="0.15">
      <c r="D210" s="26"/>
      <c r="E210" s="26"/>
      <c r="F210" s="3"/>
      <c r="G210" s="3"/>
      <c r="H210" s="3"/>
    </row>
    <row r="211" spans="4:8" ht="13" x14ac:dyDescent="0.15">
      <c r="D211" s="26"/>
      <c r="E211" s="26"/>
      <c r="F211" s="3"/>
      <c r="G211" s="3"/>
      <c r="H211" s="3"/>
    </row>
    <row r="212" spans="4:8" ht="13" x14ac:dyDescent="0.15">
      <c r="D212" s="26"/>
      <c r="E212" s="26"/>
      <c r="F212" s="3"/>
      <c r="G212" s="3"/>
      <c r="H212" s="3"/>
    </row>
    <row r="213" spans="4:8" ht="13" x14ac:dyDescent="0.15">
      <c r="D213" s="26"/>
      <c r="E213" s="26"/>
      <c r="F213" s="3"/>
      <c r="G213" s="3"/>
      <c r="H213" s="3"/>
    </row>
    <row r="214" spans="4:8" ht="13" x14ac:dyDescent="0.15">
      <c r="D214" s="26"/>
      <c r="E214" s="26"/>
      <c r="F214" s="3"/>
      <c r="G214" s="3"/>
      <c r="H214" s="3"/>
    </row>
    <row r="215" spans="4:8" ht="13" x14ac:dyDescent="0.15">
      <c r="D215" s="26"/>
      <c r="E215" s="26"/>
      <c r="F215" s="3"/>
      <c r="G215" s="3"/>
      <c r="H215" s="3"/>
    </row>
    <row r="216" spans="4:8" ht="13" x14ac:dyDescent="0.15">
      <c r="D216" s="26"/>
      <c r="E216" s="26"/>
      <c r="F216" s="3"/>
      <c r="G216" s="3"/>
      <c r="H216" s="3"/>
    </row>
    <row r="217" spans="4:8" ht="13" x14ac:dyDescent="0.15">
      <c r="D217" s="26"/>
      <c r="E217" s="26"/>
      <c r="F217" s="3"/>
      <c r="G217" s="3"/>
      <c r="H217" s="3"/>
    </row>
    <row r="218" spans="4:8" ht="13" x14ac:dyDescent="0.15">
      <c r="D218" s="26"/>
      <c r="E218" s="26"/>
      <c r="F218" s="3"/>
      <c r="G218" s="3"/>
      <c r="H218" s="3"/>
    </row>
    <row r="219" spans="4:8" ht="13" x14ac:dyDescent="0.15">
      <c r="D219" s="26"/>
      <c r="E219" s="26"/>
      <c r="F219" s="3"/>
      <c r="G219" s="3"/>
      <c r="H219" s="3"/>
    </row>
    <row r="220" spans="4:8" ht="13" x14ac:dyDescent="0.15">
      <c r="D220" s="26"/>
      <c r="E220" s="26"/>
      <c r="F220" s="3"/>
      <c r="G220" s="3"/>
      <c r="H220" s="3"/>
    </row>
    <row r="221" spans="4:8" ht="13" x14ac:dyDescent="0.15">
      <c r="D221" s="26"/>
      <c r="E221" s="26"/>
      <c r="F221" s="3"/>
      <c r="G221" s="3"/>
      <c r="H221" s="3"/>
    </row>
    <row r="222" spans="4:8" ht="13" x14ac:dyDescent="0.15">
      <c r="D222" s="26"/>
      <c r="E222" s="26"/>
      <c r="F222" s="3"/>
      <c r="G222" s="3"/>
      <c r="H222" s="3"/>
    </row>
    <row r="223" spans="4:8" ht="13" x14ac:dyDescent="0.15">
      <c r="D223" s="26"/>
      <c r="E223" s="26"/>
      <c r="F223" s="3"/>
      <c r="G223" s="3"/>
      <c r="H223" s="3"/>
    </row>
    <row r="224" spans="4:8" ht="13" x14ac:dyDescent="0.15">
      <c r="D224" s="26"/>
      <c r="E224" s="26"/>
      <c r="F224" s="3"/>
      <c r="G224" s="3"/>
      <c r="H224" s="3"/>
    </row>
    <row r="225" spans="4:8" ht="13" x14ac:dyDescent="0.15">
      <c r="D225" s="26"/>
      <c r="E225" s="26"/>
      <c r="F225" s="3"/>
      <c r="G225" s="3"/>
      <c r="H225" s="3"/>
    </row>
    <row r="226" spans="4:8" ht="13" x14ac:dyDescent="0.15">
      <c r="D226" s="26"/>
      <c r="E226" s="26"/>
      <c r="F226" s="3"/>
      <c r="G226" s="3"/>
      <c r="H226" s="3"/>
    </row>
    <row r="227" spans="4:8" ht="13" x14ac:dyDescent="0.15">
      <c r="D227" s="26"/>
      <c r="E227" s="26"/>
      <c r="F227" s="3"/>
      <c r="G227" s="3"/>
      <c r="H227" s="3"/>
    </row>
    <row r="228" spans="4:8" ht="13" x14ac:dyDescent="0.15">
      <c r="D228" s="26"/>
      <c r="E228" s="26"/>
      <c r="F228" s="3"/>
      <c r="G228" s="3"/>
      <c r="H228" s="3"/>
    </row>
    <row r="229" spans="4:8" ht="13" x14ac:dyDescent="0.15">
      <c r="D229" s="26"/>
      <c r="E229" s="26"/>
      <c r="F229" s="3"/>
      <c r="G229" s="3"/>
      <c r="H229" s="3"/>
    </row>
    <row r="230" spans="4:8" ht="13" x14ac:dyDescent="0.15">
      <c r="D230" s="26"/>
      <c r="E230" s="26"/>
      <c r="F230" s="3"/>
      <c r="G230" s="3"/>
      <c r="H230" s="3"/>
    </row>
    <row r="231" spans="4:8" ht="13" x14ac:dyDescent="0.15">
      <c r="D231" s="26"/>
      <c r="E231" s="26"/>
      <c r="F231" s="3"/>
      <c r="G231" s="3"/>
      <c r="H231" s="3"/>
    </row>
    <row r="232" spans="4:8" ht="13" x14ac:dyDescent="0.15">
      <c r="D232" s="26"/>
      <c r="E232" s="26"/>
      <c r="F232" s="3"/>
      <c r="G232" s="3"/>
      <c r="H232" s="3"/>
    </row>
    <row r="233" spans="4:8" ht="13" x14ac:dyDescent="0.15">
      <c r="D233" s="26"/>
      <c r="E233" s="26"/>
      <c r="F233" s="3"/>
      <c r="G233" s="3"/>
      <c r="H233" s="3"/>
    </row>
    <row r="234" spans="4:8" ht="13" x14ac:dyDescent="0.15">
      <c r="D234" s="26"/>
      <c r="E234" s="26"/>
      <c r="F234" s="3"/>
      <c r="G234" s="3"/>
      <c r="H234" s="3"/>
    </row>
    <row r="235" spans="4:8" ht="13" x14ac:dyDescent="0.15">
      <c r="D235" s="26"/>
      <c r="E235" s="26"/>
      <c r="F235" s="3"/>
      <c r="G235" s="3"/>
      <c r="H235" s="3"/>
    </row>
    <row r="236" spans="4:8" ht="13" x14ac:dyDescent="0.15">
      <c r="D236" s="26"/>
      <c r="E236" s="26"/>
      <c r="F236" s="3"/>
      <c r="G236" s="3"/>
      <c r="H236" s="3"/>
    </row>
    <row r="237" spans="4:8" ht="13" x14ac:dyDescent="0.15">
      <c r="D237" s="26"/>
      <c r="E237" s="26"/>
      <c r="F237" s="3"/>
      <c r="G237" s="3"/>
      <c r="H237" s="3"/>
    </row>
    <row r="238" spans="4:8" ht="13" x14ac:dyDescent="0.15">
      <c r="D238" s="26"/>
      <c r="E238" s="26"/>
      <c r="F238" s="3"/>
      <c r="G238" s="3"/>
      <c r="H238" s="3"/>
    </row>
    <row r="239" spans="4:8" ht="13" x14ac:dyDescent="0.15">
      <c r="D239" s="26"/>
      <c r="E239" s="26"/>
      <c r="F239" s="3"/>
      <c r="G239" s="3"/>
      <c r="H239" s="3"/>
    </row>
    <row r="240" spans="4:8" ht="13" x14ac:dyDescent="0.15">
      <c r="D240" s="26"/>
      <c r="E240" s="26"/>
      <c r="F240" s="3"/>
      <c r="G240" s="3"/>
      <c r="H240" s="3"/>
    </row>
    <row r="241" spans="4:8" ht="13" x14ac:dyDescent="0.15">
      <c r="D241" s="26"/>
      <c r="E241" s="26"/>
      <c r="F241" s="3"/>
      <c r="G241" s="3"/>
      <c r="H241" s="3"/>
    </row>
    <row r="242" spans="4:8" ht="13" x14ac:dyDescent="0.15">
      <c r="D242" s="26"/>
      <c r="E242" s="26"/>
      <c r="F242" s="3"/>
      <c r="G242" s="3"/>
      <c r="H242" s="3"/>
    </row>
    <row r="243" spans="4:8" ht="13" x14ac:dyDescent="0.15">
      <c r="D243" s="26"/>
      <c r="E243" s="26"/>
      <c r="F243" s="3"/>
      <c r="G243" s="3"/>
      <c r="H243" s="3"/>
    </row>
    <row r="244" spans="4:8" ht="13" x14ac:dyDescent="0.15">
      <c r="D244" s="26"/>
      <c r="E244" s="26"/>
      <c r="F244" s="3"/>
      <c r="G244" s="3"/>
      <c r="H244" s="3"/>
    </row>
    <row r="245" spans="4:8" ht="13" x14ac:dyDescent="0.15">
      <c r="D245" s="26"/>
      <c r="E245" s="26"/>
      <c r="F245" s="3"/>
      <c r="G245" s="3"/>
      <c r="H245" s="3"/>
    </row>
    <row r="246" spans="4:8" ht="13" x14ac:dyDescent="0.15">
      <c r="D246" s="26"/>
      <c r="E246" s="26"/>
      <c r="F246" s="3"/>
      <c r="G246" s="3"/>
      <c r="H246" s="3"/>
    </row>
    <row r="247" spans="4:8" ht="13" x14ac:dyDescent="0.15">
      <c r="D247" s="26"/>
      <c r="E247" s="26"/>
      <c r="F247" s="3"/>
      <c r="G247" s="3"/>
      <c r="H247" s="3"/>
    </row>
    <row r="248" spans="4:8" ht="13" x14ac:dyDescent="0.15">
      <c r="D248" s="26"/>
      <c r="E248" s="26"/>
      <c r="F248" s="3"/>
      <c r="G248" s="3"/>
      <c r="H248" s="3"/>
    </row>
    <row r="249" spans="4:8" ht="13" x14ac:dyDescent="0.15">
      <c r="D249" s="26"/>
      <c r="E249" s="26"/>
      <c r="F249" s="3"/>
      <c r="G249" s="3"/>
      <c r="H249" s="3"/>
    </row>
    <row r="250" spans="4:8" ht="13" x14ac:dyDescent="0.15">
      <c r="D250" s="26"/>
      <c r="E250" s="26"/>
      <c r="F250" s="3"/>
      <c r="G250" s="3"/>
      <c r="H250" s="3"/>
    </row>
    <row r="251" spans="4:8" ht="13" x14ac:dyDescent="0.15">
      <c r="D251" s="26"/>
      <c r="E251" s="26"/>
      <c r="F251" s="3"/>
      <c r="G251" s="3"/>
      <c r="H251" s="3"/>
    </row>
    <row r="252" spans="4:8" ht="13" x14ac:dyDescent="0.15">
      <c r="D252" s="26"/>
      <c r="E252" s="26"/>
      <c r="F252" s="3"/>
      <c r="G252" s="3"/>
      <c r="H252" s="3"/>
    </row>
    <row r="253" spans="4:8" ht="13" x14ac:dyDescent="0.15">
      <c r="D253" s="26"/>
      <c r="E253" s="26"/>
      <c r="F253" s="3"/>
      <c r="G253" s="3"/>
      <c r="H253" s="3"/>
    </row>
    <row r="254" spans="4:8" ht="13" x14ac:dyDescent="0.15">
      <c r="D254" s="26"/>
      <c r="E254" s="26"/>
      <c r="F254" s="3"/>
      <c r="G254" s="3"/>
      <c r="H254" s="3"/>
    </row>
    <row r="255" spans="4:8" ht="13" x14ac:dyDescent="0.15">
      <c r="D255" s="26"/>
      <c r="E255" s="26"/>
      <c r="F255" s="3"/>
      <c r="G255" s="3"/>
      <c r="H255" s="3"/>
    </row>
    <row r="256" spans="4:8" ht="13" x14ac:dyDescent="0.15">
      <c r="D256" s="26"/>
      <c r="E256" s="26"/>
      <c r="F256" s="3"/>
      <c r="G256" s="3"/>
      <c r="H256" s="3"/>
    </row>
    <row r="257" spans="4:8" ht="13" x14ac:dyDescent="0.15">
      <c r="D257" s="26"/>
      <c r="E257" s="26"/>
      <c r="F257" s="3"/>
      <c r="G257" s="3"/>
      <c r="H257" s="3"/>
    </row>
    <row r="258" spans="4:8" ht="13" x14ac:dyDescent="0.15">
      <c r="D258" s="26"/>
      <c r="E258" s="26"/>
      <c r="F258" s="3"/>
      <c r="G258" s="3"/>
      <c r="H258" s="3"/>
    </row>
    <row r="259" spans="4:8" ht="13" x14ac:dyDescent="0.15">
      <c r="D259" s="26"/>
      <c r="E259" s="26"/>
      <c r="F259" s="3"/>
      <c r="G259" s="3"/>
      <c r="H259" s="3"/>
    </row>
    <row r="260" spans="4:8" ht="13" x14ac:dyDescent="0.15">
      <c r="D260" s="26"/>
      <c r="E260" s="26"/>
      <c r="F260" s="3"/>
      <c r="G260" s="3"/>
      <c r="H260" s="3"/>
    </row>
    <row r="261" spans="4:8" ht="13" x14ac:dyDescent="0.15">
      <c r="D261" s="26"/>
      <c r="E261" s="26"/>
      <c r="F261" s="3"/>
      <c r="G261" s="3"/>
      <c r="H261" s="3"/>
    </row>
    <row r="262" spans="4:8" ht="13" x14ac:dyDescent="0.15">
      <c r="D262" s="26"/>
      <c r="E262" s="26"/>
      <c r="F262" s="3"/>
      <c r="G262" s="3"/>
      <c r="H262" s="3"/>
    </row>
    <row r="263" spans="4:8" ht="13" x14ac:dyDescent="0.15">
      <c r="D263" s="26"/>
      <c r="E263" s="26"/>
      <c r="F263" s="3"/>
      <c r="G263" s="3"/>
      <c r="H263" s="3"/>
    </row>
    <row r="264" spans="4:8" ht="13" x14ac:dyDescent="0.15">
      <c r="D264" s="26"/>
      <c r="E264" s="26"/>
      <c r="F264" s="3"/>
      <c r="G264" s="3"/>
      <c r="H264" s="3"/>
    </row>
    <row r="265" spans="4:8" ht="13" x14ac:dyDescent="0.15">
      <c r="D265" s="26"/>
      <c r="E265" s="26"/>
      <c r="F265" s="3"/>
      <c r="G265" s="3"/>
      <c r="H265" s="3"/>
    </row>
    <row r="266" spans="4:8" ht="13" x14ac:dyDescent="0.15">
      <c r="D266" s="26"/>
      <c r="E266" s="26"/>
      <c r="F266" s="3"/>
      <c r="G266" s="3"/>
      <c r="H266" s="3"/>
    </row>
    <row r="267" spans="4:8" ht="13" x14ac:dyDescent="0.15">
      <c r="D267" s="26"/>
      <c r="E267" s="26"/>
      <c r="F267" s="3"/>
      <c r="G267" s="3"/>
      <c r="H267" s="3"/>
    </row>
    <row r="268" spans="4:8" ht="13" x14ac:dyDescent="0.15">
      <c r="D268" s="26"/>
      <c r="E268" s="26"/>
      <c r="F268" s="3"/>
      <c r="G268" s="3"/>
      <c r="H268" s="3"/>
    </row>
    <row r="269" spans="4:8" ht="13" x14ac:dyDescent="0.15">
      <c r="D269" s="26"/>
      <c r="E269" s="26"/>
      <c r="F269" s="3"/>
      <c r="G269" s="3"/>
      <c r="H269" s="3"/>
    </row>
    <row r="270" spans="4:8" ht="13" x14ac:dyDescent="0.15">
      <c r="D270" s="26"/>
      <c r="E270" s="26"/>
      <c r="F270" s="3"/>
      <c r="G270" s="3"/>
      <c r="H270" s="3"/>
    </row>
    <row r="271" spans="4:8" ht="13" x14ac:dyDescent="0.15">
      <c r="D271" s="26"/>
      <c r="E271" s="26"/>
      <c r="F271" s="3"/>
      <c r="G271" s="3"/>
      <c r="H271" s="3"/>
    </row>
    <row r="272" spans="4:8" ht="13" x14ac:dyDescent="0.15">
      <c r="D272" s="26"/>
      <c r="E272" s="26"/>
      <c r="F272" s="3"/>
      <c r="G272" s="3"/>
      <c r="H272" s="3"/>
    </row>
    <row r="273" spans="4:8" ht="13" x14ac:dyDescent="0.15">
      <c r="D273" s="26"/>
      <c r="E273" s="26"/>
      <c r="F273" s="3"/>
      <c r="G273" s="3"/>
      <c r="H273" s="3"/>
    </row>
    <row r="274" spans="4:8" ht="13" x14ac:dyDescent="0.15">
      <c r="D274" s="26"/>
      <c r="E274" s="26"/>
      <c r="F274" s="3"/>
      <c r="G274" s="3"/>
      <c r="H274" s="3"/>
    </row>
    <row r="275" spans="4:8" ht="13" x14ac:dyDescent="0.15">
      <c r="D275" s="26"/>
      <c r="E275" s="26"/>
      <c r="F275" s="3"/>
      <c r="G275" s="3"/>
      <c r="H275" s="3"/>
    </row>
    <row r="276" spans="4:8" ht="13" x14ac:dyDescent="0.15">
      <c r="D276" s="26"/>
      <c r="E276" s="26"/>
      <c r="F276" s="3"/>
      <c r="G276" s="3"/>
      <c r="H276" s="3"/>
    </row>
    <row r="277" spans="4:8" ht="13" x14ac:dyDescent="0.15">
      <c r="D277" s="26"/>
      <c r="E277" s="26"/>
      <c r="F277" s="3"/>
      <c r="G277" s="3"/>
      <c r="H277" s="3"/>
    </row>
    <row r="278" spans="4:8" ht="13" x14ac:dyDescent="0.15">
      <c r="D278" s="26"/>
      <c r="E278" s="26"/>
      <c r="F278" s="3"/>
      <c r="G278" s="3"/>
      <c r="H278" s="3"/>
    </row>
    <row r="279" spans="4:8" ht="13" x14ac:dyDescent="0.15">
      <c r="D279" s="26"/>
      <c r="E279" s="26"/>
      <c r="F279" s="3"/>
      <c r="G279" s="3"/>
      <c r="H279" s="3"/>
    </row>
    <row r="280" spans="4:8" ht="13" x14ac:dyDescent="0.15">
      <c r="D280" s="26"/>
      <c r="E280" s="26"/>
      <c r="F280" s="3"/>
      <c r="G280" s="3"/>
      <c r="H280" s="3"/>
    </row>
    <row r="281" spans="4:8" ht="13" x14ac:dyDescent="0.15">
      <c r="D281" s="26"/>
      <c r="E281" s="26"/>
      <c r="F281" s="3"/>
      <c r="G281" s="3"/>
      <c r="H281" s="3"/>
    </row>
    <row r="282" spans="4:8" ht="13" x14ac:dyDescent="0.15">
      <c r="D282" s="26"/>
      <c r="E282" s="26"/>
      <c r="F282" s="3"/>
      <c r="G282" s="3"/>
      <c r="H282" s="3"/>
    </row>
    <row r="283" spans="4:8" ht="13" x14ac:dyDescent="0.15">
      <c r="D283" s="26"/>
      <c r="E283" s="26"/>
      <c r="F283" s="3"/>
      <c r="G283" s="3"/>
      <c r="H283" s="3"/>
    </row>
    <row r="284" spans="4:8" ht="13" x14ac:dyDescent="0.15">
      <c r="D284" s="26"/>
      <c r="E284" s="26"/>
      <c r="F284" s="3"/>
      <c r="G284" s="3"/>
      <c r="H284" s="3"/>
    </row>
    <row r="285" spans="4:8" ht="13" x14ac:dyDescent="0.15">
      <c r="D285" s="26"/>
      <c r="E285" s="26"/>
      <c r="F285" s="3"/>
      <c r="G285" s="3"/>
      <c r="H285" s="3"/>
    </row>
    <row r="286" spans="4:8" ht="13" x14ac:dyDescent="0.15">
      <c r="D286" s="26"/>
      <c r="E286" s="26"/>
      <c r="F286" s="3"/>
      <c r="G286" s="3"/>
      <c r="H286" s="3"/>
    </row>
    <row r="287" spans="4:8" ht="13" x14ac:dyDescent="0.15">
      <c r="D287" s="26"/>
      <c r="E287" s="26"/>
      <c r="F287" s="3"/>
      <c r="G287" s="3"/>
      <c r="H287" s="3"/>
    </row>
    <row r="288" spans="4:8" ht="13" x14ac:dyDescent="0.15">
      <c r="D288" s="26"/>
      <c r="E288" s="26"/>
      <c r="F288" s="3"/>
      <c r="G288" s="3"/>
      <c r="H288" s="3"/>
    </row>
    <row r="289" spans="4:8" ht="13" x14ac:dyDescent="0.15">
      <c r="D289" s="26"/>
      <c r="E289" s="26"/>
      <c r="F289" s="3"/>
      <c r="G289" s="3"/>
      <c r="H289" s="3"/>
    </row>
    <row r="290" spans="4:8" ht="13" x14ac:dyDescent="0.15">
      <c r="D290" s="26"/>
      <c r="E290" s="26"/>
      <c r="F290" s="3"/>
      <c r="G290" s="3"/>
      <c r="H290" s="3"/>
    </row>
    <row r="291" spans="4:8" ht="13" x14ac:dyDescent="0.15">
      <c r="D291" s="26"/>
      <c r="E291" s="26"/>
      <c r="F291" s="3"/>
      <c r="G291" s="3"/>
      <c r="H291" s="3"/>
    </row>
    <row r="292" spans="4:8" ht="13" x14ac:dyDescent="0.15">
      <c r="D292" s="26"/>
      <c r="E292" s="26"/>
      <c r="F292" s="3"/>
      <c r="G292" s="3"/>
      <c r="H292" s="3"/>
    </row>
    <row r="293" spans="4:8" ht="13" x14ac:dyDescent="0.15">
      <c r="D293" s="26"/>
      <c r="E293" s="26"/>
      <c r="F293" s="3"/>
      <c r="G293" s="3"/>
      <c r="H293" s="3"/>
    </row>
    <row r="294" spans="4:8" ht="13" x14ac:dyDescent="0.15">
      <c r="D294" s="26"/>
      <c r="E294" s="26"/>
      <c r="F294" s="3"/>
      <c r="G294" s="3"/>
      <c r="H294" s="3"/>
    </row>
    <row r="295" spans="4:8" ht="13" x14ac:dyDescent="0.15">
      <c r="D295" s="26"/>
      <c r="E295" s="26"/>
      <c r="F295" s="3"/>
      <c r="G295" s="3"/>
      <c r="H295" s="3"/>
    </row>
    <row r="296" spans="4:8" ht="13" x14ac:dyDescent="0.15">
      <c r="D296" s="26"/>
      <c r="E296" s="26"/>
      <c r="F296" s="3"/>
      <c r="G296" s="3"/>
      <c r="H296" s="3"/>
    </row>
    <row r="297" spans="4:8" ht="13" x14ac:dyDescent="0.15">
      <c r="D297" s="26"/>
      <c r="E297" s="26"/>
      <c r="F297" s="3"/>
      <c r="G297" s="3"/>
      <c r="H297" s="3"/>
    </row>
    <row r="298" spans="4:8" ht="13" x14ac:dyDescent="0.15">
      <c r="D298" s="26"/>
      <c r="E298" s="26"/>
      <c r="F298" s="3"/>
      <c r="G298" s="3"/>
      <c r="H298" s="3"/>
    </row>
    <row r="299" spans="4:8" ht="13" x14ac:dyDescent="0.15">
      <c r="D299" s="26"/>
      <c r="E299" s="26"/>
      <c r="F299" s="3"/>
      <c r="G299" s="3"/>
      <c r="H299" s="3"/>
    </row>
    <row r="300" spans="4:8" ht="13" x14ac:dyDescent="0.15">
      <c r="D300" s="26"/>
      <c r="E300" s="26"/>
      <c r="F300" s="3"/>
      <c r="G300" s="3"/>
      <c r="H300" s="3"/>
    </row>
    <row r="301" spans="4:8" ht="13" x14ac:dyDescent="0.15">
      <c r="D301" s="26"/>
      <c r="E301" s="26"/>
      <c r="F301" s="3"/>
      <c r="G301" s="3"/>
      <c r="H301" s="3"/>
    </row>
    <row r="302" spans="4:8" ht="13" x14ac:dyDescent="0.15">
      <c r="D302" s="26"/>
      <c r="E302" s="26"/>
      <c r="F302" s="3"/>
      <c r="G302" s="3"/>
      <c r="H302" s="3"/>
    </row>
    <row r="303" spans="4:8" ht="13" x14ac:dyDescent="0.15">
      <c r="D303" s="26"/>
      <c r="E303" s="26"/>
      <c r="F303" s="3"/>
      <c r="G303" s="3"/>
      <c r="H303" s="3"/>
    </row>
    <row r="304" spans="4:8" ht="13" x14ac:dyDescent="0.15">
      <c r="D304" s="26"/>
      <c r="E304" s="26"/>
      <c r="F304" s="3"/>
      <c r="G304" s="3"/>
      <c r="H304" s="3"/>
    </row>
    <row r="305" spans="4:8" ht="13" x14ac:dyDescent="0.15">
      <c r="D305" s="26"/>
      <c r="E305" s="26"/>
      <c r="F305" s="3"/>
      <c r="G305" s="3"/>
      <c r="H305" s="3"/>
    </row>
    <row r="306" spans="4:8" ht="13" x14ac:dyDescent="0.15">
      <c r="D306" s="26"/>
      <c r="E306" s="26"/>
      <c r="F306" s="3"/>
      <c r="G306" s="3"/>
      <c r="H306" s="3"/>
    </row>
    <row r="307" spans="4:8" ht="13" x14ac:dyDescent="0.15">
      <c r="D307" s="26"/>
      <c r="E307" s="26"/>
      <c r="F307" s="3"/>
      <c r="G307" s="3"/>
      <c r="H307" s="3"/>
    </row>
    <row r="308" spans="4:8" ht="13" x14ac:dyDescent="0.15">
      <c r="D308" s="26"/>
      <c r="E308" s="26"/>
      <c r="F308" s="3"/>
      <c r="G308" s="3"/>
      <c r="H308" s="3"/>
    </row>
    <row r="309" spans="4:8" ht="13" x14ac:dyDescent="0.15">
      <c r="D309" s="26"/>
      <c r="E309" s="26"/>
      <c r="F309" s="3"/>
      <c r="G309" s="3"/>
      <c r="H309" s="3"/>
    </row>
    <row r="310" spans="4:8" ht="13" x14ac:dyDescent="0.15">
      <c r="D310" s="26"/>
      <c r="E310" s="26"/>
      <c r="F310" s="3"/>
      <c r="G310" s="3"/>
      <c r="H310" s="3"/>
    </row>
    <row r="311" spans="4:8" ht="13" x14ac:dyDescent="0.15">
      <c r="D311" s="26"/>
      <c r="E311" s="26"/>
      <c r="F311" s="3"/>
      <c r="G311" s="3"/>
      <c r="H311" s="3"/>
    </row>
    <row r="312" spans="4:8" ht="13" x14ac:dyDescent="0.15">
      <c r="D312" s="26"/>
      <c r="E312" s="26"/>
      <c r="F312" s="3"/>
      <c r="G312" s="3"/>
      <c r="H312" s="3"/>
    </row>
    <row r="313" spans="4:8" ht="13" x14ac:dyDescent="0.15">
      <c r="D313" s="26"/>
      <c r="E313" s="26"/>
      <c r="F313" s="3"/>
      <c r="G313" s="3"/>
      <c r="H313" s="3"/>
    </row>
    <row r="314" spans="4:8" ht="13" x14ac:dyDescent="0.15">
      <c r="D314" s="26"/>
      <c r="E314" s="26"/>
      <c r="F314" s="3"/>
      <c r="G314" s="3"/>
      <c r="H314" s="3"/>
    </row>
    <row r="315" spans="4:8" ht="13" x14ac:dyDescent="0.15">
      <c r="D315" s="26"/>
      <c r="E315" s="26"/>
      <c r="F315" s="3"/>
      <c r="G315" s="3"/>
      <c r="H315" s="3"/>
    </row>
    <row r="316" spans="4:8" ht="13" x14ac:dyDescent="0.15">
      <c r="D316" s="26"/>
      <c r="E316" s="26"/>
      <c r="F316" s="3"/>
      <c r="G316" s="3"/>
      <c r="H316" s="3"/>
    </row>
    <row r="317" spans="4:8" ht="13" x14ac:dyDescent="0.15">
      <c r="D317" s="26"/>
      <c r="E317" s="26"/>
      <c r="F317" s="3"/>
      <c r="G317" s="3"/>
      <c r="H317" s="3"/>
    </row>
    <row r="318" spans="4:8" ht="13" x14ac:dyDescent="0.15">
      <c r="D318" s="26"/>
      <c r="E318" s="26"/>
      <c r="F318" s="3"/>
      <c r="G318" s="3"/>
      <c r="H318" s="3"/>
    </row>
    <row r="319" spans="4:8" ht="13" x14ac:dyDescent="0.15">
      <c r="D319" s="26"/>
      <c r="E319" s="26"/>
      <c r="F319" s="3"/>
      <c r="G319" s="3"/>
      <c r="H319" s="3"/>
    </row>
    <row r="320" spans="4:8" ht="13" x14ac:dyDescent="0.15">
      <c r="D320" s="26"/>
      <c r="E320" s="26"/>
      <c r="F320" s="3"/>
      <c r="G320" s="3"/>
      <c r="H320" s="3"/>
    </row>
    <row r="321" spans="4:8" ht="13" x14ac:dyDescent="0.15">
      <c r="D321" s="26"/>
      <c r="E321" s="26"/>
      <c r="F321" s="3"/>
      <c r="G321" s="3"/>
      <c r="H321" s="3"/>
    </row>
    <row r="322" spans="4:8" ht="13" x14ac:dyDescent="0.15">
      <c r="D322" s="26"/>
      <c r="E322" s="26"/>
      <c r="F322" s="3"/>
      <c r="G322" s="3"/>
      <c r="H322" s="3"/>
    </row>
    <row r="323" spans="4:8" ht="13" x14ac:dyDescent="0.15">
      <c r="D323" s="26"/>
      <c r="E323" s="26"/>
      <c r="F323" s="3"/>
      <c r="G323" s="3"/>
      <c r="H323" s="3"/>
    </row>
    <row r="324" spans="4:8" ht="13" x14ac:dyDescent="0.15">
      <c r="D324" s="26"/>
      <c r="E324" s="26"/>
      <c r="F324" s="3"/>
      <c r="G324" s="3"/>
      <c r="H324" s="3"/>
    </row>
    <row r="325" spans="4:8" ht="13" x14ac:dyDescent="0.15">
      <c r="D325" s="26"/>
      <c r="E325" s="26"/>
      <c r="F325" s="3"/>
      <c r="G325" s="3"/>
      <c r="H325" s="3"/>
    </row>
    <row r="326" spans="4:8" ht="13" x14ac:dyDescent="0.15">
      <c r="D326" s="26"/>
      <c r="E326" s="26"/>
      <c r="F326" s="3"/>
      <c r="G326" s="3"/>
      <c r="H326" s="3"/>
    </row>
    <row r="327" spans="4:8" ht="13" x14ac:dyDescent="0.15">
      <c r="D327" s="26"/>
      <c r="E327" s="26"/>
      <c r="F327" s="3"/>
      <c r="G327" s="3"/>
      <c r="H327" s="3"/>
    </row>
    <row r="328" spans="4:8" ht="13" x14ac:dyDescent="0.15">
      <c r="D328" s="26"/>
      <c r="E328" s="26"/>
      <c r="F328" s="3"/>
      <c r="G328" s="3"/>
      <c r="H328" s="3"/>
    </row>
    <row r="329" spans="4:8" ht="13" x14ac:dyDescent="0.15">
      <c r="D329" s="26"/>
      <c r="E329" s="26"/>
      <c r="F329" s="3"/>
      <c r="G329" s="3"/>
      <c r="H329" s="3"/>
    </row>
    <row r="330" spans="4:8" ht="13" x14ac:dyDescent="0.15">
      <c r="D330" s="26"/>
      <c r="E330" s="26"/>
      <c r="F330" s="3"/>
      <c r="G330" s="3"/>
      <c r="H330" s="3"/>
    </row>
    <row r="331" spans="4:8" ht="13" x14ac:dyDescent="0.15">
      <c r="D331" s="26"/>
      <c r="E331" s="26"/>
      <c r="F331" s="3"/>
      <c r="G331" s="3"/>
      <c r="H331" s="3"/>
    </row>
    <row r="332" spans="4:8" ht="13" x14ac:dyDescent="0.15">
      <c r="D332" s="26"/>
      <c r="E332" s="26"/>
      <c r="F332" s="3"/>
      <c r="G332" s="3"/>
      <c r="H332" s="3"/>
    </row>
    <row r="333" spans="4:8" ht="13" x14ac:dyDescent="0.15">
      <c r="D333" s="26"/>
      <c r="E333" s="26"/>
      <c r="F333" s="3"/>
      <c r="G333" s="3"/>
      <c r="H333" s="3"/>
    </row>
    <row r="334" spans="4:8" ht="13" x14ac:dyDescent="0.15">
      <c r="D334" s="26"/>
      <c r="E334" s="26"/>
      <c r="F334" s="3"/>
      <c r="G334" s="3"/>
      <c r="H334" s="3"/>
    </row>
    <row r="335" spans="4:8" ht="13" x14ac:dyDescent="0.15">
      <c r="D335" s="26"/>
      <c r="E335" s="26"/>
      <c r="F335" s="3"/>
      <c r="G335" s="3"/>
      <c r="H335" s="3"/>
    </row>
    <row r="336" spans="4:8" ht="13" x14ac:dyDescent="0.15">
      <c r="D336" s="26"/>
      <c r="E336" s="26"/>
      <c r="F336" s="3"/>
      <c r="G336" s="3"/>
      <c r="H336" s="3"/>
    </row>
    <row r="337" spans="4:8" ht="13" x14ac:dyDescent="0.15">
      <c r="D337" s="26"/>
      <c r="E337" s="26"/>
      <c r="F337" s="3"/>
      <c r="G337" s="3"/>
      <c r="H337" s="3"/>
    </row>
    <row r="338" spans="4:8" ht="13" x14ac:dyDescent="0.15">
      <c r="D338" s="26"/>
      <c r="E338" s="26"/>
      <c r="F338" s="3"/>
      <c r="G338" s="3"/>
      <c r="H338" s="3"/>
    </row>
    <row r="339" spans="4:8" ht="13" x14ac:dyDescent="0.15">
      <c r="D339" s="26"/>
      <c r="E339" s="26"/>
      <c r="F339" s="3"/>
      <c r="G339" s="3"/>
      <c r="H339" s="3"/>
    </row>
    <row r="340" spans="4:8" ht="13" x14ac:dyDescent="0.15">
      <c r="D340" s="26"/>
      <c r="E340" s="26"/>
      <c r="F340" s="3"/>
      <c r="G340" s="3"/>
      <c r="H340" s="3"/>
    </row>
    <row r="341" spans="4:8" ht="13" x14ac:dyDescent="0.15">
      <c r="D341" s="26"/>
      <c r="E341" s="26"/>
      <c r="F341" s="3"/>
      <c r="G341" s="3"/>
      <c r="H341" s="3"/>
    </row>
    <row r="342" spans="4:8" ht="13" x14ac:dyDescent="0.15">
      <c r="D342" s="26"/>
      <c r="E342" s="26"/>
      <c r="F342" s="3"/>
      <c r="G342" s="3"/>
      <c r="H342" s="3"/>
    </row>
    <row r="343" spans="4:8" ht="13" x14ac:dyDescent="0.15">
      <c r="D343" s="26"/>
      <c r="E343" s="26"/>
      <c r="F343" s="3"/>
      <c r="G343" s="3"/>
      <c r="H343" s="3"/>
    </row>
    <row r="344" spans="4:8" ht="13" x14ac:dyDescent="0.15">
      <c r="D344" s="26"/>
      <c r="E344" s="26"/>
      <c r="F344" s="3"/>
      <c r="G344" s="3"/>
      <c r="H344" s="3"/>
    </row>
    <row r="345" spans="4:8" ht="13" x14ac:dyDescent="0.15">
      <c r="D345" s="26"/>
      <c r="E345" s="26"/>
      <c r="F345" s="3"/>
      <c r="G345" s="3"/>
      <c r="H345" s="3"/>
    </row>
    <row r="346" spans="4:8" ht="13" x14ac:dyDescent="0.15">
      <c r="D346" s="26"/>
      <c r="E346" s="26"/>
      <c r="F346" s="3"/>
      <c r="G346" s="3"/>
      <c r="H346" s="3"/>
    </row>
    <row r="347" spans="4:8" ht="13" x14ac:dyDescent="0.15">
      <c r="D347" s="26"/>
      <c r="E347" s="26"/>
      <c r="F347" s="3"/>
      <c r="G347" s="3"/>
      <c r="H347" s="3"/>
    </row>
    <row r="348" spans="4:8" ht="13" x14ac:dyDescent="0.15">
      <c r="D348" s="26"/>
      <c r="E348" s="26"/>
      <c r="F348" s="3"/>
      <c r="G348" s="3"/>
      <c r="H348" s="3"/>
    </row>
    <row r="349" spans="4:8" ht="13" x14ac:dyDescent="0.15">
      <c r="D349" s="26"/>
      <c r="E349" s="26"/>
      <c r="F349" s="3"/>
      <c r="G349" s="3"/>
      <c r="H349" s="3"/>
    </row>
    <row r="350" spans="4:8" ht="13" x14ac:dyDescent="0.15">
      <c r="D350" s="26"/>
      <c r="E350" s="26"/>
      <c r="F350" s="3"/>
      <c r="G350" s="3"/>
      <c r="H350" s="3"/>
    </row>
    <row r="351" spans="4:8" ht="13" x14ac:dyDescent="0.15">
      <c r="D351" s="26"/>
      <c r="E351" s="26"/>
      <c r="F351" s="3"/>
      <c r="G351" s="3"/>
      <c r="H351" s="3"/>
    </row>
    <row r="352" spans="4:8" ht="13" x14ac:dyDescent="0.15">
      <c r="D352" s="26"/>
      <c r="E352" s="26"/>
      <c r="F352" s="3"/>
      <c r="G352" s="3"/>
      <c r="H352" s="3"/>
    </row>
    <row r="353" spans="4:8" ht="13" x14ac:dyDescent="0.15">
      <c r="D353" s="26"/>
      <c r="E353" s="26"/>
      <c r="F353" s="3"/>
      <c r="G353" s="3"/>
      <c r="H353" s="3"/>
    </row>
    <row r="354" spans="4:8" ht="13" x14ac:dyDescent="0.15">
      <c r="D354" s="26"/>
      <c r="E354" s="26"/>
      <c r="F354" s="3"/>
      <c r="G354" s="3"/>
      <c r="H354" s="3"/>
    </row>
    <row r="355" spans="4:8" ht="13" x14ac:dyDescent="0.15">
      <c r="D355" s="26"/>
      <c r="E355" s="26"/>
      <c r="F355" s="3"/>
      <c r="G355" s="3"/>
      <c r="H355" s="3"/>
    </row>
    <row r="356" spans="4:8" ht="13" x14ac:dyDescent="0.15">
      <c r="D356" s="26"/>
      <c r="E356" s="26"/>
      <c r="F356" s="3"/>
      <c r="G356" s="3"/>
      <c r="H356" s="3"/>
    </row>
    <row r="357" spans="4:8" ht="13" x14ac:dyDescent="0.15">
      <c r="D357" s="26"/>
      <c r="E357" s="26"/>
      <c r="F357" s="3"/>
      <c r="G357" s="3"/>
      <c r="H357" s="3"/>
    </row>
    <row r="358" spans="4:8" ht="13" x14ac:dyDescent="0.15">
      <c r="D358" s="26"/>
      <c r="E358" s="26"/>
      <c r="F358" s="3"/>
      <c r="G358" s="3"/>
      <c r="H358" s="3"/>
    </row>
    <row r="359" spans="4:8" ht="13" x14ac:dyDescent="0.15">
      <c r="D359" s="26"/>
      <c r="E359" s="26"/>
      <c r="F359" s="3"/>
      <c r="G359" s="3"/>
      <c r="H359" s="3"/>
    </row>
    <row r="360" spans="4:8" ht="13" x14ac:dyDescent="0.15">
      <c r="D360" s="26"/>
      <c r="E360" s="26"/>
      <c r="F360" s="3"/>
      <c r="G360" s="3"/>
      <c r="H360" s="3"/>
    </row>
    <row r="361" spans="4:8" ht="13" x14ac:dyDescent="0.15">
      <c r="D361" s="26"/>
      <c r="E361" s="26"/>
      <c r="F361" s="3"/>
      <c r="G361" s="3"/>
      <c r="H361" s="3"/>
    </row>
    <row r="362" spans="4:8" ht="13" x14ac:dyDescent="0.15">
      <c r="D362" s="26"/>
      <c r="E362" s="26"/>
      <c r="F362" s="3"/>
      <c r="G362" s="3"/>
      <c r="H362" s="3"/>
    </row>
    <row r="363" spans="4:8" ht="13" x14ac:dyDescent="0.15">
      <c r="D363" s="26"/>
      <c r="E363" s="26"/>
      <c r="F363" s="3"/>
      <c r="G363" s="3"/>
      <c r="H363" s="3"/>
    </row>
    <row r="364" spans="4:8" ht="13" x14ac:dyDescent="0.15">
      <c r="D364" s="26"/>
      <c r="E364" s="26"/>
      <c r="F364" s="3"/>
      <c r="G364" s="3"/>
      <c r="H364" s="3"/>
    </row>
    <row r="365" spans="4:8" ht="13" x14ac:dyDescent="0.15">
      <c r="D365" s="26"/>
      <c r="E365" s="26"/>
      <c r="F365" s="3"/>
      <c r="G365" s="3"/>
      <c r="H365" s="3"/>
    </row>
    <row r="366" spans="4:8" ht="13" x14ac:dyDescent="0.15">
      <c r="D366" s="26"/>
      <c r="E366" s="26"/>
      <c r="F366" s="3"/>
      <c r="G366" s="3"/>
      <c r="H366" s="3"/>
    </row>
    <row r="367" spans="4:8" ht="13" x14ac:dyDescent="0.15">
      <c r="D367" s="26"/>
      <c r="E367" s="26"/>
      <c r="F367" s="3"/>
      <c r="G367" s="3"/>
      <c r="H367" s="3"/>
    </row>
    <row r="368" spans="4:8" ht="13" x14ac:dyDescent="0.15">
      <c r="D368" s="26"/>
      <c r="E368" s="26"/>
      <c r="F368" s="3"/>
      <c r="G368" s="3"/>
      <c r="H368" s="3"/>
    </row>
    <row r="369" spans="4:8" ht="13" x14ac:dyDescent="0.15">
      <c r="D369" s="26"/>
      <c r="E369" s="26"/>
      <c r="F369" s="3"/>
      <c r="G369" s="3"/>
      <c r="H369" s="3"/>
    </row>
    <row r="370" spans="4:8" ht="13" x14ac:dyDescent="0.15">
      <c r="D370" s="26"/>
      <c r="E370" s="26"/>
      <c r="F370" s="3"/>
      <c r="G370" s="3"/>
      <c r="H370" s="3"/>
    </row>
    <row r="371" spans="4:8" ht="13" x14ac:dyDescent="0.15">
      <c r="D371" s="26"/>
      <c r="E371" s="26"/>
      <c r="F371" s="3"/>
      <c r="G371" s="3"/>
      <c r="H371" s="3"/>
    </row>
    <row r="372" spans="4:8" ht="13" x14ac:dyDescent="0.15">
      <c r="D372" s="26"/>
      <c r="E372" s="26"/>
      <c r="F372" s="3"/>
      <c r="G372" s="3"/>
      <c r="H372" s="3"/>
    </row>
    <row r="373" spans="4:8" ht="13" x14ac:dyDescent="0.15">
      <c r="D373" s="26"/>
      <c r="E373" s="26"/>
      <c r="F373" s="3"/>
      <c r="G373" s="3"/>
      <c r="H373" s="3"/>
    </row>
    <row r="374" spans="4:8" ht="13" x14ac:dyDescent="0.15">
      <c r="D374" s="26"/>
      <c r="E374" s="26"/>
      <c r="F374" s="3"/>
      <c r="G374" s="3"/>
      <c r="H374" s="3"/>
    </row>
    <row r="375" spans="4:8" ht="13" x14ac:dyDescent="0.15">
      <c r="D375" s="26"/>
      <c r="E375" s="26"/>
      <c r="F375" s="3"/>
      <c r="G375" s="3"/>
      <c r="H375" s="3"/>
    </row>
    <row r="376" spans="4:8" ht="13" x14ac:dyDescent="0.15">
      <c r="D376" s="26"/>
      <c r="E376" s="26"/>
      <c r="F376" s="3"/>
      <c r="G376" s="3"/>
      <c r="H376" s="3"/>
    </row>
    <row r="377" spans="4:8" ht="13" x14ac:dyDescent="0.15">
      <c r="D377" s="26"/>
      <c r="E377" s="26"/>
      <c r="F377" s="3"/>
      <c r="G377" s="3"/>
      <c r="H377" s="3"/>
    </row>
    <row r="378" spans="4:8" ht="13" x14ac:dyDescent="0.15">
      <c r="D378" s="26"/>
      <c r="E378" s="26"/>
      <c r="F378" s="3"/>
      <c r="G378" s="3"/>
      <c r="H378" s="3"/>
    </row>
    <row r="379" spans="4:8" ht="13" x14ac:dyDescent="0.15">
      <c r="D379" s="26"/>
      <c r="E379" s="26"/>
      <c r="F379" s="3"/>
      <c r="G379" s="3"/>
      <c r="H379" s="3"/>
    </row>
    <row r="380" spans="4:8" ht="13" x14ac:dyDescent="0.15">
      <c r="D380" s="26"/>
      <c r="E380" s="26"/>
      <c r="F380" s="3"/>
      <c r="G380" s="3"/>
      <c r="H380" s="3"/>
    </row>
    <row r="381" spans="4:8" ht="13" x14ac:dyDescent="0.15">
      <c r="D381" s="26"/>
      <c r="E381" s="26"/>
      <c r="F381" s="3"/>
      <c r="G381" s="3"/>
      <c r="H381" s="3"/>
    </row>
    <row r="382" spans="4:8" ht="13" x14ac:dyDescent="0.15">
      <c r="D382" s="26"/>
      <c r="E382" s="26"/>
      <c r="F382" s="3"/>
      <c r="G382" s="3"/>
      <c r="H382" s="3"/>
    </row>
    <row r="383" spans="4:8" ht="13" x14ac:dyDescent="0.15">
      <c r="D383" s="26"/>
      <c r="E383" s="26"/>
      <c r="F383" s="3"/>
      <c r="G383" s="3"/>
      <c r="H383" s="3"/>
    </row>
    <row r="384" spans="4:8" ht="13" x14ac:dyDescent="0.15">
      <c r="D384" s="26"/>
      <c r="E384" s="26"/>
      <c r="F384" s="3"/>
      <c r="G384" s="3"/>
      <c r="H384" s="3"/>
    </row>
    <row r="385" spans="4:8" ht="13" x14ac:dyDescent="0.15">
      <c r="D385" s="26"/>
      <c r="E385" s="26"/>
      <c r="F385" s="3"/>
      <c r="G385" s="3"/>
      <c r="H385" s="3"/>
    </row>
    <row r="386" spans="4:8" ht="13" x14ac:dyDescent="0.15">
      <c r="D386" s="26"/>
      <c r="E386" s="26"/>
      <c r="F386" s="3"/>
      <c r="G386" s="3"/>
      <c r="H386" s="3"/>
    </row>
    <row r="387" spans="4:8" ht="13" x14ac:dyDescent="0.15">
      <c r="D387" s="26"/>
      <c r="E387" s="26"/>
      <c r="F387" s="3"/>
      <c r="G387" s="3"/>
      <c r="H387" s="3"/>
    </row>
    <row r="388" spans="4:8" ht="13" x14ac:dyDescent="0.15">
      <c r="D388" s="26"/>
      <c r="E388" s="26"/>
      <c r="F388" s="3"/>
      <c r="G388" s="3"/>
      <c r="H388" s="3"/>
    </row>
    <row r="389" spans="4:8" ht="13" x14ac:dyDescent="0.15">
      <c r="D389" s="26"/>
      <c r="E389" s="26"/>
      <c r="F389" s="3"/>
      <c r="G389" s="3"/>
      <c r="H389" s="3"/>
    </row>
    <row r="390" spans="4:8" ht="13" x14ac:dyDescent="0.15">
      <c r="D390" s="26"/>
      <c r="E390" s="26"/>
      <c r="F390" s="3"/>
      <c r="G390" s="3"/>
      <c r="H390" s="3"/>
    </row>
    <row r="391" spans="4:8" ht="13" x14ac:dyDescent="0.15">
      <c r="D391" s="26"/>
      <c r="E391" s="26"/>
      <c r="F391" s="3"/>
      <c r="G391" s="3"/>
      <c r="H391" s="3"/>
    </row>
    <row r="392" spans="4:8" ht="13" x14ac:dyDescent="0.15">
      <c r="D392" s="26"/>
      <c r="E392" s="26"/>
      <c r="F392" s="3"/>
      <c r="G392" s="3"/>
      <c r="H392" s="3"/>
    </row>
    <row r="393" spans="4:8" ht="13" x14ac:dyDescent="0.15">
      <c r="D393" s="26"/>
      <c r="E393" s="26"/>
      <c r="F393" s="3"/>
      <c r="G393" s="3"/>
      <c r="H393" s="3"/>
    </row>
    <row r="394" spans="4:8" ht="13" x14ac:dyDescent="0.15">
      <c r="D394" s="26"/>
      <c r="E394" s="26"/>
      <c r="F394" s="3"/>
      <c r="G394" s="3"/>
      <c r="H394" s="3"/>
    </row>
    <row r="395" spans="4:8" ht="13" x14ac:dyDescent="0.15">
      <c r="D395" s="26"/>
      <c r="E395" s="26"/>
      <c r="F395" s="3"/>
      <c r="G395" s="3"/>
      <c r="H395" s="3"/>
    </row>
    <row r="396" spans="4:8" ht="13" x14ac:dyDescent="0.15">
      <c r="D396" s="26"/>
      <c r="E396" s="26"/>
      <c r="F396" s="3"/>
      <c r="G396" s="3"/>
      <c r="H396" s="3"/>
    </row>
    <row r="397" spans="4:8" ht="13" x14ac:dyDescent="0.15">
      <c r="D397" s="26"/>
      <c r="E397" s="26"/>
      <c r="F397" s="3"/>
      <c r="G397" s="3"/>
      <c r="H397" s="3"/>
    </row>
    <row r="398" spans="4:8" ht="13" x14ac:dyDescent="0.15">
      <c r="D398" s="26"/>
      <c r="E398" s="26"/>
      <c r="F398" s="3"/>
      <c r="G398" s="3"/>
      <c r="H398" s="3"/>
    </row>
    <row r="399" spans="4:8" ht="13" x14ac:dyDescent="0.15">
      <c r="D399" s="26"/>
      <c r="E399" s="26"/>
      <c r="F399" s="3"/>
      <c r="G399" s="3"/>
      <c r="H399" s="3"/>
    </row>
    <row r="400" spans="4:8" ht="13" x14ac:dyDescent="0.15">
      <c r="D400" s="26"/>
      <c r="E400" s="26"/>
      <c r="F400" s="3"/>
      <c r="G400" s="3"/>
      <c r="H400" s="3"/>
    </row>
    <row r="401" spans="4:8" ht="13" x14ac:dyDescent="0.15">
      <c r="D401" s="26"/>
      <c r="E401" s="26"/>
      <c r="F401" s="3"/>
      <c r="G401" s="3"/>
      <c r="H401" s="3"/>
    </row>
    <row r="402" spans="4:8" ht="13" x14ac:dyDescent="0.15">
      <c r="D402" s="26"/>
      <c r="E402" s="26"/>
      <c r="F402" s="3"/>
      <c r="G402" s="3"/>
      <c r="H402" s="3"/>
    </row>
    <row r="403" spans="4:8" ht="13" x14ac:dyDescent="0.15">
      <c r="D403" s="26"/>
      <c r="E403" s="26"/>
      <c r="F403" s="3"/>
      <c r="G403" s="3"/>
      <c r="H403" s="3"/>
    </row>
    <row r="404" spans="4:8" ht="13" x14ac:dyDescent="0.15">
      <c r="D404" s="26"/>
      <c r="E404" s="26"/>
      <c r="F404" s="3"/>
      <c r="G404" s="3"/>
      <c r="H404" s="3"/>
    </row>
    <row r="405" spans="4:8" ht="13" x14ac:dyDescent="0.15">
      <c r="D405" s="26"/>
      <c r="E405" s="26"/>
      <c r="F405" s="3"/>
      <c r="G405" s="3"/>
      <c r="H405" s="3"/>
    </row>
    <row r="406" spans="4:8" ht="13" x14ac:dyDescent="0.15">
      <c r="D406" s="26"/>
      <c r="E406" s="26"/>
      <c r="F406" s="3"/>
      <c r="G406" s="3"/>
      <c r="H406" s="3"/>
    </row>
    <row r="407" spans="4:8" ht="13" x14ac:dyDescent="0.15">
      <c r="D407" s="26"/>
      <c r="E407" s="26"/>
      <c r="F407" s="3"/>
      <c r="G407" s="3"/>
      <c r="H407" s="3"/>
    </row>
    <row r="408" spans="4:8" ht="13" x14ac:dyDescent="0.15">
      <c r="D408" s="26"/>
      <c r="E408" s="26"/>
      <c r="F408" s="3"/>
      <c r="G408" s="3"/>
      <c r="H408" s="3"/>
    </row>
    <row r="409" spans="4:8" ht="13" x14ac:dyDescent="0.15">
      <c r="D409" s="26"/>
      <c r="E409" s="26"/>
      <c r="F409" s="3"/>
      <c r="G409" s="3"/>
      <c r="H409" s="3"/>
    </row>
    <row r="410" spans="4:8" ht="13" x14ac:dyDescent="0.15">
      <c r="D410" s="26"/>
      <c r="E410" s="26"/>
      <c r="F410" s="3"/>
      <c r="G410" s="3"/>
      <c r="H410" s="3"/>
    </row>
    <row r="411" spans="4:8" ht="13" x14ac:dyDescent="0.15">
      <c r="D411" s="26"/>
      <c r="E411" s="26"/>
      <c r="F411" s="3"/>
      <c r="G411" s="3"/>
      <c r="H411" s="3"/>
    </row>
    <row r="412" spans="4:8" ht="13" x14ac:dyDescent="0.15">
      <c r="D412" s="26"/>
      <c r="E412" s="26"/>
      <c r="F412" s="3"/>
      <c r="G412" s="3"/>
      <c r="H412" s="3"/>
    </row>
    <row r="413" spans="4:8" ht="13" x14ac:dyDescent="0.15">
      <c r="D413" s="26"/>
      <c r="E413" s="26"/>
      <c r="F413" s="3"/>
      <c r="G413" s="3"/>
      <c r="H413" s="3"/>
    </row>
    <row r="414" spans="4:8" ht="13" x14ac:dyDescent="0.15">
      <c r="D414" s="26"/>
      <c r="E414" s="26"/>
      <c r="F414" s="3"/>
      <c r="G414" s="3"/>
      <c r="H414" s="3"/>
    </row>
    <row r="415" spans="4:8" ht="13" x14ac:dyDescent="0.15">
      <c r="D415" s="26"/>
      <c r="E415" s="26"/>
      <c r="F415" s="3"/>
      <c r="G415" s="3"/>
      <c r="H415" s="3"/>
    </row>
    <row r="416" spans="4:8" ht="13" x14ac:dyDescent="0.15">
      <c r="D416" s="26"/>
      <c r="E416" s="26"/>
      <c r="F416" s="3"/>
      <c r="G416" s="3"/>
      <c r="H416" s="3"/>
    </row>
    <row r="417" spans="4:8" ht="13" x14ac:dyDescent="0.15">
      <c r="D417" s="26"/>
      <c r="E417" s="26"/>
      <c r="F417" s="3"/>
      <c r="G417" s="3"/>
      <c r="H417" s="3"/>
    </row>
    <row r="418" spans="4:8" ht="13" x14ac:dyDescent="0.15">
      <c r="D418" s="26"/>
      <c r="E418" s="26"/>
      <c r="F418" s="3"/>
      <c r="G418" s="3"/>
      <c r="H418" s="3"/>
    </row>
    <row r="419" spans="4:8" ht="13" x14ac:dyDescent="0.15">
      <c r="D419" s="26"/>
      <c r="E419" s="26"/>
      <c r="F419" s="3"/>
      <c r="G419" s="3"/>
      <c r="H419" s="3"/>
    </row>
    <row r="420" spans="4:8" ht="13" x14ac:dyDescent="0.15">
      <c r="D420" s="26"/>
      <c r="E420" s="26"/>
      <c r="F420" s="3"/>
      <c r="G420" s="3"/>
      <c r="H420" s="3"/>
    </row>
    <row r="421" spans="4:8" ht="13" x14ac:dyDescent="0.15">
      <c r="D421" s="26"/>
      <c r="E421" s="26"/>
      <c r="F421" s="3"/>
      <c r="G421" s="3"/>
      <c r="H421" s="3"/>
    </row>
    <row r="422" spans="4:8" ht="13" x14ac:dyDescent="0.15">
      <c r="D422" s="26"/>
      <c r="E422" s="26"/>
      <c r="F422" s="3"/>
      <c r="G422" s="3"/>
      <c r="H422" s="3"/>
    </row>
    <row r="423" spans="4:8" ht="13" x14ac:dyDescent="0.15">
      <c r="D423" s="26"/>
      <c r="E423" s="26"/>
      <c r="F423" s="3"/>
      <c r="G423" s="3"/>
      <c r="H423" s="3"/>
    </row>
    <row r="424" spans="4:8" ht="13" x14ac:dyDescent="0.15">
      <c r="D424" s="26"/>
      <c r="E424" s="26"/>
      <c r="F424" s="3"/>
      <c r="G424" s="3"/>
      <c r="H424" s="3"/>
    </row>
    <row r="425" spans="4:8" ht="13" x14ac:dyDescent="0.15">
      <c r="D425" s="26"/>
      <c r="E425" s="26"/>
      <c r="F425" s="3"/>
      <c r="G425" s="3"/>
      <c r="H425" s="3"/>
    </row>
    <row r="426" spans="4:8" ht="13" x14ac:dyDescent="0.15">
      <c r="D426" s="26"/>
      <c r="E426" s="26"/>
      <c r="F426" s="3"/>
      <c r="G426" s="3"/>
      <c r="H426" s="3"/>
    </row>
    <row r="427" spans="4:8" ht="13" x14ac:dyDescent="0.15">
      <c r="D427" s="26"/>
      <c r="E427" s="26"/>
      <c r="F427" s="3"/>
      <c r="G427" s="3"/>
      <c r="H427" s="3"/>
    </row>
    <row r="428" spans="4:8" ht="13" x14ac:dyDescent="0.15">
      <c r="D428" s="26"/>
      <c r="E428" s="26"/>
      <c r="F428" s="3"/>
      <c r="G428" s="3"/>
      <c r="H428" s="3"/>
    </row>
    <row r="429" spans="4:8" ht="13" x14ac:dyDescent="0.15">
      <c r="D429" s="26"/>
      <c r="E429" s="26"/>
      <c r="F429" s="3"/>
      <c r="G429" s="3"/>
      <c r="H429" s="3"/>
    </row>
    <row r="430" spans="4:8" ht="13" x14ac:dyDescent="0.15">
      <c r="D430" s="26"/>
      <c r="E430" s="26"/>
      <c r="F430" s="3"/>
      <c r="G430" s="3"/>
      <c r="H430" s="3"/>
    </row>
    <row r="431" spans="4:8" ht="13" x14ac:dyDescent="0.15">
      <c r="D431" s="26"/>
      <c r="E431" s="26"/>
      <c r="F431" s="3"/>
      <c r="G431" s="3"/>
      <c r="H431" s="3"/>
    </row>
    <row r="432" spans="4:8" ht="13" x14ac:dyDescent="0.15">
      <c r="D432" s="26"/>
      <c r="E432" s="26"/>
      <c r="F432" s="3"/>
      <c r="G432" s="3"/>
      <c r="H432" s="3"/>
    </row>
    <row r="433" spans="4:8" ht="13" x14ac:dyDescent="0.15">
      <c r="D433" s="26"/>
      <c r="E433" s="26"/>
      <c r="F433" s="3"/>
      <c r="G433" s="3"/>
      <c r="H433" s="3"/>
    </row>
    <row r="434" spans="4:8" ht="13" x14ac:dyDescent="0.15">
      <c r="D434" s="26"/>
      <c r="E434" s="26"/>
      <c r="F434" s="3"/>
      <c r="G434" s="3"/>
      <c r="H434" s="3"/>
    </row>
    <row r="435" spans="4:8" ht="13" x14ac:dyDescent="0.15">
      <c r="D435" s="26"/>
      <c r="E435" s="26"/>
      <c r="F435" s="3"/>
      <c r="G435" s="3"/>
      <c r="H435" s="3"/>
    </row>
    <row r="436" spans="4:8" ht="13" x14ac:dyDescent="0.15">
      <c r="D436" s="26"/>
      <c r="E436" s="26"/>
      <c r="F436" s="3"/>
      <c r="G436" s="3"/>
      <c r="H436" s="3"/>
    </row>
    <row r="437" spans="4:8" ht="13" x14ac:dyDescent="0.15">
      <c r="D437" s="26"/>
      <c r="E437" s="26"/>
      <c r="F437" s="3"/>
      <c r="G437" s="3"/>
      <c r="H437" s="3"/>
    </row>
    <row r="438" spans="4:8" ht="13" x14ac:dyDescent="0.15">
      <c r="D438" s="26"/>
      <c r="E438" s="26"/>
      <c r="F438" s="3"/>
      <c r="G438" s="3"/>
      <c r="H438" s="3"/>
    </row>
    <row r="439" spans="4:8" ht="13" x14ac:dyDescent="0.15">
      <c r="D439" s="26"/>
      <c r="E439" s="26"/>
      <c r="F439" s="3"/>
      <c r="G439" s="3"/>
      <c r="H439" s="3"/>
    </row>
    <row r="440" spans="4:8" ht="13" x14ac:dyDescent="0.15">
      <c r="D440" s="26"/>
      <c r="E440" s="26"/>
      <c r="F440" s="3"/>
      <c r="G440" s="3"/>
      <c r="H440" s="3"/>
    </row>
    <row r="441" spans="4:8" ht="13" x14ac:dyDescent="0.15">
      <c r="D441" s="26"/>
      <c r="E441" s="26"/>
      <c r="F441" s="3"/>
      <c r="G441" s="3"/>
      <c r="H441" s="3"/>
    </row>
    <row r="442" spans="4:8" ht="13" x14ac:dyDescent="0.15">
      <c r="D442" s="26"/>
      <c r="E442" s="26"/>
      <c r="F442" s="3"/>
      <c r="G442" s="3"/>
      <c r="H442" s="3"/>
    </row>
    <row r="443" spans="4:8" ht="13" x14ac:dyDescent="0.15">
      <c r="D443" s="26"/>
      <c r="E443" s="26"/>
      <c r="F443" s="3"/>
      <c r="G443" s="3"/>
      <c r="H443" s="3"/>
    </row>
    <row r="444" spans="4:8" ht="13" x14ac:dyDescent="0.15">
      <c r="D444" s="26"/>
      <c r="E444" s="26"/>
      <c r="F444" s="3"/>
      <c r="G444" s="3"/>
      <c r="H444" s="3"/>
    </row>
    <row r="445" spans="4:8" ht="13" x14ac:dyDescent="0.15">
      <c r="D445" s="26"/>
      <c r="E445" s="26"/>
      <c r="F445" s="3"/>
      <c r="G445" s="3"/>
      <c r="H445" s="3"/>
    </row>
    <row r="446" spans="4:8" ht="13" x14ac:dyDescent="0.15">
      <c r="D446" s="26"/>
      <c r="E446" s="26"/>
      <c r="F446" s="3"/>
      <c r="G446" s="3"/>
      <c r="H446" s="3"/>
    </row>
    <row r="447" spans="4:8" ht="13" x14ac:dyDescent="0.15">
      <c r="D447" s="26"/>
      <c r="E447" s="26"/>
      <c r="F447" s="3"/>
      <c r="G447" s="3"/>
      <c r="H447" s="3"/>
    </row>
    <row r="448" spans="4:8" ht="13" x14ac:dyDescent="0.15">
      <c r="D448" s="26"/>
      <c r="E448" s="26"/>
      <c r="F448" s="3"/>
      <c r="G448" s="3"/>
      <c r="H448" s="3"/>
    </row>
    <row r="449" spans="4:8" ht="13" x14ac:dyDescent="0.15">
      <c r="D449" s="26"/>
      <c r="E449" s="26"/>
      <c r="F449" s="3"/>
      <c r="G449" s="3"/>
      <c r="H449" s="3"/>
    </row>
    <row r="450" spans="4:8" ht="13" x14ac:dyDescent="0.15">
      <c r="D450" s="26"/>
      <c r="E450" s="26"/>
      <c r="F450" s="3"/>
      <c r="G450" s="3"/>
      <c r="H450" s="3"/>
    </row>
    <row r="451" spans="4:8" ht="13" x14ac:dyDescent="0.15">
      <c r="D451" s="26"/>
      <c r="E451" s="26"/>
      <c r="F451" s="3"/>
      <c r="G451" s="3"/>
      <c r="H451" s="3"/>
    </row>
    <row r="452" spans="4:8" ht="13" x14ac:dyDescent="0.15">
      <c r="D452" s="26"/>
      <c r="E452" s="26"/>
      <c r="F452" s="3"/>
      <c r="G452" s="3"/>
      <c r="H452" s="3"/>
    </row>
    <row r="453" spans="4:8" ht="13" x14ac:dyDescent="0.15">
      <c r="D453" s="26"/>
      <c r="E453" s="26"/>
      <c r="F453" s="3"/>
      <c r="G453" s="3"/>
      <c r="H453" s="3"/>
    </row>
    <row r="454" spans="4:8" ht="13" x14ac:dyDescent="0.15">
      <c r="D454" s="26"/>
      <c r="E454" s="26"/>
      <c r="F454" s="3"/>
      <c r="G454" s="3"/>
      <c r="H454" s="3"/>
    </row>
    <row r="455" spans="4:8" ht="13" x14ac:dyDescent="0.15">
      <c r="D455" s="26"/>
      <c r="E455" s="26"/>
      <c r="F455" s="3"/>
      <c r="G455" s="3"/>
      <c r="H455" s="3"/>
    </row>
    <row r="456" spans="4:8" ht="13" x14ac:dyDescent="0.15">
      <c r="D456" s="26"/>
      <c r="E456" s="26"/>
      <c r="F456" s="3"/>
      <c r="G456" s="3"/>
      <c r="H456" s="3"/>
    </row>
    <row r="457" spans="4:8" ht="13" x14ac:dyDescent="0.15">
      <c r="D457" s="26"/>
      <c r="E457" s="26"/>
      <c r="F457" s="3"/>
      <c r="G457" s="3"/>
      <c r="H457" s="3"/>
    </row>
    <row r="458" spans="4:8" ht="13" x14ac:dyDescent="0.15">
      <c r="D458" s="26"/>
      <c r="E458" s="26"/>
      <c r="F458" s="3"/>
      <c r="G458" s="3"/>
      <c r="H458" s="3"/>
    </row>
    <row r="459" spans="4:8" ht="13" x14ac:dyDescent="0.15">
      <c r="D459" s="26"/>
      <c r="E459" s="26"/>
      <c r="F459" s="3"/>
      <c r="G459" s="3"/>
      <c r="H459" s="3"/>
    </row>
    <row r="460" spans="4:8" ht="13" x14ac:dyDescent="0.15">
      <c r="D460" s="26"/>
      <c r="E460" s="26"/>
      <c r="F460" s="3"/>
      <c r="G460" s="3"/>
      <c r="H460" s="3"/>
    </row>
    <row r="461" spans="4:8" ht="13" x14ac:dyDescent="0.15">
      <c r="D461" s="26"/>
      <c r="E461" s="26"/>
      <c r="F461" s="3"/>
      <c r="G461" s="3"/>
      <c r="H461" s="3"/>
    </row>
    <row r="462" spans="4:8" ht="13" x14ac:dyDescent="0.15">
      <c r="D462" s="26"/>
      <c r="E462" s="26"/>
      <c r="F462" s="3"/>
      <c r="G462" s="3"/>
      <c r="H462" s="3"/>
    </row>
    <row r="463" spans="4:8" ht="13" x14ac:dyDescent="0.15">
      <c r="D463" s="26"/>
      <c r="E463" s="26"/>
      <c r="F463" s="3"/>
      <c r="G463" s="3"/>
      <c r="H463" s="3"/>
    </row>
    <row r="464" spans="4:8" ht="13" x14ac:dyDescent="0.15">
      <c r="D464" s="26"/>
      <c r="E464" s="26"/>
      <c r="F464" s="3"/>
      <c r="G464" s="3"/>
      <c r="H464" s="3"/>
    </row>
    <row r="465" spans="4:8" ht="13" x14ac:dyDescent="0.15">
      <c r="D465" s="26"/>
      <c r="E465" s="26"/>
      <c r="F465" s="3"/>
      <c r="G465" s="3"/>
      <c r="H465" s="3"/>
    </row>
    <row r="466" spans="4:8" ht="13" x14ac:dyDescent="0.15">
      <c r="D466" s="26"/>
      <c r="E466" s="26"/>
      <c r="F466" s="3"/>
      <c r="G466" s="3"/>
      <c r="H466" s="3"/>
    </row>
    <row r="467" spans="4:8" ht="13" x14ac:dyDescent="0.15">
      <c r="D467" s="26"/>
      <c r="E467" s="26"/>
      <c r="F467" s="3"/>
      <c r="G467" s="3"/>
      <c r="H467" s="3"/>
    </row>
    <row r="468" spans="4:8" ht="13" x14ac:dyDescent="0.15">
      <c r="D468" s="26"/>
      <c r="E468" s="26"/>
      <c r="F468" s="3"/>
      <c r="G468" s="3"/>
      <c r="H468" s="3"/>
    </row>
    <row r="469" spans="4:8" ht="13" x14ac:dyDescent="0.15">
      <c r="D469" s="26"/>
      <c r="E469" s="26"/>
      <c r="F469" s="3"/>
      <c r="G469" s="3"/>
      <c r="H469" s="3"/>
    </row>
    <row r="470" spans="4:8" ht="13" x14ac:dyDescent="0.15">
      <c r="D470" s="26"/>
      <c r="E470" s="26"/>
      <c r="F470" s="3"/>
      <c r="G470" s="3"/>
      <c r="H470" s="3"/>
    </row>
    <row r="471" spans="4:8" ht="13" x14ac:dyDescent="0.15">
      <c r="D471" s="26"/>
      <c r="E471" s="26"/>
      <c r="F471" s="3"/>
      <c r="G471" s="3"/>
      <c r="H471" s="3"/>
    </row>
    <row r="472" spans="4:8" ht="13" x14ac:dyDescent="0.15">
      <c r="D472" s="26"/>
      <c r="E472" s="26"/>
      <c r="F472" s="3"/>
      <c r="G472" s="3"/>
      <c r="H472" s="3"/>
    </row>
    <row r="473" spans="4:8" ht="13" x14ac:dyDescent="0.15">
      <c r="D473" s="26"/>
      <c r="E473" s="26"/>
      <c r="F473" s="3"/>
      <c r="G473" s="3"/>
      <c r="H473" s="3"/>
    </row>
    <row r="474" spans="4:8" ht="13" x14ac:dyDescent="0.15">
      <c r="D474" s="26"/>
      <c r="E474" s="26"/>
      <c r="F474" s="3"/>
      <c r="G474" s="3"/>
      <c r="H474" s="3"/>
    </row>
    <row r="475" spans="4:8" ht="13" x14ac:dyDescent="0.15">
      <c r="D475" s="26"/>
      <c r="E475" s="26"/>
      <c r="F475" s="3"/>
      <c r="G475" s="3"/>
      <c r="H475" s="3"/>
    </row>
    <row r="476" spans="4:8" ht="13" x14ac:dyDescent="0.15">
      <c r="D476" s="26"/>
      <c r="E476" s="26"/>
      <c r="F476" s="3"/>
      <c r="G476" s="3"/>
      <c r="H476" s="3"/>
    </row>
    <row r="477" spans="4:8" ht="13" x14ac:dyDescent="0.15">
      <c r="D477" s="26"/>
      <c r="E477" s="26"/>
      <c r="F477" s="3"/>
      <c r="G477" s="3"/>
      <c r="H477" s="3"/>
    </row>
    <row r="478" spans="4:8" ht="13" x14ac:dyDescent="0.15">
      <c r="D478" s="26"/>
      <c r="E478" s="26"/>
      <c r="F478" s="3"/>
      <c r="G478" s="3"/>
      <c r="H478" s="3"/>
    </row>
    <row r="479" spans="4:8" ht="13" x14ac:dyDescent="0.15">
      <c r="D479" s="26"/>
      <c r="E479" s="26"/>
      <c r="F479" s="3"/>
      <c r="G479" s="3"/>
      <c r="H479" s="3"/>
    </row>
    <row r="480" spans="4:8" ht="13" x14ac:dyDescent="0.15">
      <c r="D480" s="26"/>
      <c r="E480" s="26"/>
      <c r="F480" s="3"/>
      <c r="G480" s="3"/>
      <c r="H480" s="3"/>
    </row>
    <row r="481" spans="4:8" ht="13" x14ac:dyDescent="0.15">
      <c r="D481" s="26"/>
      <c r="E481" s="26"/>
      <c r="F481" s="3"/>
      <c r="G481" s="3"/>
      <c r="H481" s="3"/>
    </row>
    <row r="482" spans="4:8" ht="13" x14ac:dyDescent="0.15">
      <c r="D482" s="26"/>
      <c r="E482" s="26"/>
      <c r="F482" s="3"/>
      <c r="G482" s="3"/>
      <c r="H482" s="3"/>
    </row>
    <row r="483" spans="4:8" ht="13" x14ac:dyDescent="0.15">
      <c r="D483" s="26"/>
      <c r="E483" s="26"/>
      <c r="F483" s="3"/>
      <c r="G483" s="3"/>
      <c r="H483" s="3"/>
    </row>
    <row r="484" spans="4:8" ht="13" x14ac:dyDescent="0.15">
      <c r="D484" s="26"/>
      <c r="E484" s="26"/>
      <c r="F484" s="3"/>
      <c r="G484" s="3"/>
      <c r="H484" s="3"/>
    </row>
    <row r="485" spans="4:8" ht="13" x14ac:dyDescent="0.15">
      <c r="D485" s="26"/>
      <c r="E485" s="26"/>
      <c r="F485" s="3"/>
      <c r="G485" s="3"/>
      <c r="H485" s="3"/>
    </row>
    <row r="486" spans="4:8" ht="13" x14ac:dyDescent="0.15">
      <c r="D486" s="26"/>
      <c r="E486" s="26"/>
      <c r="F486" s="3"/>
      <c r="G486" s="3"/>
      <c r="H486" s="3"/>
    </row>
    <row r="487" spans="4:8" ht="13" x14ac:dyDescent="0.15">
      <c r="D487" s="26"/>
      <c r="E487" s="26"/>
      <c r="F487" s="3"/>
      <c r="G487" s="3"/>
      <c r="H487" s="3"/>
    </row>
    <row r="488" spans="4:8" ht="13" x14ac:dyDescent="0.15">
      <c r="D488" s="26"/>
      <c r="E488" s="26"/>
      <c r="F488" s="3"/>
      <c r="G488" s="3"/>
      <c r="H488" s="3"/>
    </row>
    <row r="489" spans="4:8" ht="13" x14ac:dyDescent="0.15">
      <c r="D489" s="26"/>
      <c r="E489" s="26"/>
      <c r="F489" s="3"/>
      <c r="G489" s="3"/>
      <c r="H489" s="3"/>
    </row>
    <row r="490" spans="4:8" ht="13" x14ac:dyDescent="0.15">
      <c r="D490" s="26"/>
      <c r="E490" s="26"/>
      <c r="F490" s="3"/>
      <c r="G490" s="3"/>
      <c r="H490" s="3"/>
    </row>
    <row r="491" spans="4:8" ht="13" x14ac:dyDescent="0.15">
      <c r="D491" s="26"/>
      <c r="E491" s="26"/>
      <c r="F491" s="3"/>
      <c r="G491" s="3"/>
      <c r="H491" s="3"/>
    </row>
    <row r="492" spans="4:8" ht="13" x14ac:dyDescent="0.15">
      <c r="D492" s="26"/>
      <c r="E492" s="26"/>
      <c r="F492" s="3"/>
      <c r="G492" s="3"/>
      <c r="H492" s="3"/>
    </row>
    <row r="493" spans="4:8" ht="13" x14ac:dyDescent="0.15">
      <c r="D493" s="26"/>
      <c r="E493" s="26"/>
      <c r="F493" s="3"/>
      <c r="G493" s="3"/>
      <c r="H493" s="3"/>
    </row>
    <row r="494" spans="4:8" ht="13" x14ac:dyDescent="0.15">
      <c r="D494" s="26"/>
      <c r="E494" s="26"/>
      <c r="F494" s="3"/>
      <c r="G494" s="3"/>
      <c r="H494" s="3"/>
    </row>
    <row r="495" spans="4:8" ht="13" x14ac:dyDescent="0.15">
      <c r="D495" s="26"/>
      <c r="E495" s="26"/>
      <c r="F495" s="3"/>
      <c r="G495" s="3"/>
      <c r="H495" s="3"/>
    </row>
    <row r="496" spans="4:8" ht="13" x14ac:dyDescent="0.15">
      <c r="D496" s="26"/>
      <c r="E496" s="26"/>
      <c r="F496" s="3"/>
      <c r="G496" s="3"/>
      <c r="H496" s="3"/>
    </row>
    <row r="497" spans="4:8" ht="13" x14ac:dyDescent="0.15">
      <c r="D497" s="26"/>
      <c r="E497" s="26"/>
      <c r="F497" s="3"/>
      <c r="G497" s="3"/>
      <c r="H497" s="3"/>
    </row>
    <row r="498" spans="4:8" ht="13" x14ac:dyDescent="0.15">
      <c r="D498" s="26"/>
      <c r="E498" s="26"/>
      <c r="F498" s="3"/>
      <c r="G498" s="3"/>
      <c r="H498" s="3"/>
    </row>
    <row r="499" spans="4:8" ht="13" x14ac:dyDescent="0.15">
      <c r="D499" s="26"/>
      <c r="E499" s="26"/>
      <c r="F499" s="3"/>
      <c r="G499" s="3"/>
      <c r="H499" s="3"/>
    </row>
    <row r="500" spans="4:8" ht="13" x14ac:dyDescent="0.15">
      <c r="D500" s="26"/>
      <c r="E500" s="26"/>
      <c r="F500" s="3"/>
      <c r="G500" s="3"/>
      <c r="H500" s="3"/>
    </row>
    <row r="501" spans="4:8" ht="13" x14ac:dyDescent="0.15">
      <c r="D501" s="26"/>
      <c r="E501" s="26"/>
      <c r="F501" s="3"/>
      <c r="G501" s="3"/>
      <c r="H501" s="3"/>
    </row>
    <row r="502" spans="4:8" ht="13" x14ac:dyDescent="0.15">
      <c r="D502" s="26"/>
      <c r="E502" s="26"/>
      <c r="F502" s="3"/>
      <c r="G502" s="3"/>
      <c r="H502" s="3"/>
    </row>
    <row r="503" spans="4:8" ht="13" x14ac:dyDescent="0.15">
      <c r="D503" s="26"/>
      <c r="E503" s="26"/>
      <c r="F503" s="3"/>
      <c r="G503" s="3"/>
      <c r="H503" s="3"/>
    </row>
    <row r="504" spans="4:8" ht="13" x14ac:dyDescent="0.15">
      <c r="D504" s="26"/>
      <c r="E504" s="26"/>
      <c r="F504" s="3"/>
      <c r="G504" s="3"/>
      <c r="H504" s="3"/>
    </row>
    <row r="505" spans="4:8" ht="13" x14ac:dyDescent="0.15">
      <c r="D505" s="26"/>
      <c r="E505" s="26"/>
      <c r="F505" s="3"/>
      <c r="G505" s="3"/>
      <c r="H505" s="3"/>
    </row>
    <row r="506" spans="4:8" ht="13" x14ac:dyDescent="0.15">
      <c r="D506" s="26"/>
      <c r="E506" s="26"/>
      <c r="F506" s="3"/>
      <c r="G506" s="3"/>
      <c r="H506" s="3"/>
    </row>
    <row r="507" spans="4:8" ht="13" x14ac:dyDescent="0.15">
      <c r="D507" s="26"/>
      <c r="E507" s="26"/>
      <c r="F507" s="3"/>
      <c r="G507" s="3"/>
      <c r="H507" s="3"/>
    </row>
    <row r="508" spans="4:8" ht="13" x14ac:dyDescent="0.15">
      <c r="D508" s="26"/>
      <c r="E508" s="26"/>
      <c r="F508" s="3"/>
      <c r="G508" s="3"/>
      <c r="H508" s="3"/>
    </row>
    <row r="509" spans="4:8" ht="13" x14ac:dyDescent="0.15">
      <c r="D509" s="26"/>
      <c r="E509" s="26"/>
      <c r="F509" s="3"/>
      <c r="G509" s="3"/>
      <c r="H509" s="3"/>
    </row>
    <row r="510" spans="4:8" ht="13" x14ac:dyDescent="0.15">
      <c r="D510" s="26"/>
      <c r="E510" s="26"/>
      <c r="F510" s="3"/>
      <c r="G510" s="3"/>
      <c r="H510" s="3"/>
    </row>
    <row r="511" spans="4:8" ht="13" x14ac:dyDescent="0.15">
      <c r="D511" s="26"/>
      <c r="E511" s="26"/>
      <c r="F511" s="3"/>
      <c r="G511" s="3"/>
      <c r="H511" s="3"/>
    </row>
    <row r="512" spans="4:8" ht="13" x14ac:dyDescent="0.15">
      <c r="D512" s="26"/>
      <c r="E512" s="26"/>
      <c r="F512" s="3"/>
      <c r="G512" s="3"/>
      <c r="H512" s="3"/>
    </row>
    <row r="513" spans="4:8" ht="13" x14ac:dyDescent="0.15">
      <c r="D513" s="26"/>
      <c r="E513" s="26"/>
      <c r="F513" s="3"/>
      <c r="G513" s="3"/>
      <c r="H513" s="3"/>
    </row>
    <row r="514" spans="4:8" ht="13" x14ac:dyDescent="0.15">
      <c r="D514" s="26"/>
      <c r="E514" s="26"/>
      <c r="F514" s="3"/>
      <c r="G514" s="3"/>
      <c r="H514" s="3"/>
    </row>
    <row r="515" spans="4:8" ht="13" x14ac:dyDescent="0.15">
      <c r="D515" s="26"/>
      <c r="E515" s="26"/>
      <c r="F515" s="3"/>
      <c r="G515" s="3"/>
      <c r="H515" s="3"/>
    </row>
    <row r="516" spans="4:8" ht="13" x14ac:dyDescent="0.15">
      <c r="D516" s="26"/>
      <c r="E516" s="26"/>
      <c r="F516" s="3"/>
      <c r="G516" s="3"/>
      <c r="H516" s="3"/>
    </row>
    <row r="517" spans="4:8" ht="13" x14ac:dyDescent="0.15">
      <c r="D517" s="26"/>
      <c r="E517" s="26"/>
      <c r="F517" s="3"/>
      <c r="G517" s="3"/>
      <c r="H517" s="3"/>
    </row>
    <row r="518" spans="4:8" ht="13" x14ac:dyDescent="0.15">
      <c r="D518" s="26"/>
      <c r="E518" s="26"/>
      <c r="F518" s="3"/>
      <c r="G518" s="3"/>
      <c r="H518" s="3"/>
    </row>
    <row r="519" spans="4:8" ht="13" x14ac:dyDescent="0.15">
      <c r="D519" s="26"/>
      <c r="E519" s="26"/>
      <c r="F519" s="3"/>
      <c r="G519" s="3"/>
      <c r="H519" s="3"/>
    </row>
    <row r="520" spans="4:8" ht="13" x14ac:dyDescent="0.15">
      <c r="D520" s="26"/>
      <c r="E520" s="26"/>
      <c r="F520" s="3"/>
      <c r="G520" s="3"/>
      <c r="H520" s="3"/>
    </row>
    <row r="521" spans="4:8" ht="13" x14ac:dyDescent="0.15">
      <c r="D521" s="26"/>
      <c r="E521" s="26"/>
      <c r="F521" s="3"/>
      <c r="G521" s="3"/>
      <c r="H521" s="3"/>
    </row>
    <row r="522" spans="4:8" ht="13" x14ac:dyDescent="0.15">
      <c r="D522" s="26"/>
      <c r="E522" s="26"/>
      <c r="F522" s="3"/>
      <c r="G522" s="3"/>
      <c r="H522" s="3"/>
    </row>
    <row r="523" spans="4:8" ht="13" x14ac:dyDescent="0.15">
      <c r="D523" s="26"/>
      <c r="E523" s="26"/>
      <c r="F523" s="3"/>
      <c r="G523" s="3"/>
      <c r="H523" s="3"/>
    </row>
    <row r="524" spans="4:8" ht="13" x14ac:dyDescent="0.15">
      <c r="D524" s="26"/>
      <c r="E524" s="26"/>
      <c r="F524" s="3"/>
      <c r="G524" s="3"/>
      <c r="H524" s="3"/>
    </row>
    <row r="525" spans="4:8" ht="13" x14ac:dyDescent="0.15">
      <c r="D525" s="26"/>
      <c r="E525" s="26"/>
      <c r="F525" s="3"/>
      <c r="G525" s="3"/>
      <c r="H525" s="3"/>
    </row>
    <row r="526" spans="4:8" ht="13" x14ac:dyDescent="0.15">
      <c r="D526" s="26"/>
      <c r="E526" s="26"/>
      <c r="F526" s="3"/>
      <c r="G526" s="3"/>
      <c r="H526" s="3"/>
    </row>
    <row r="527" spans="4:8" ht="13" x14ac:dyDescent="0.15">
      <c r="D527" s="26"/>
      <c r="E527" s="26"/>
      <c r="F527" s="3"/>
      <c r="G527" s="3"/>
      <c r="H527" s="3"/>
    </row>
    <row r="528" spans="4:8" ht="13" x14ac:dyDescent="0.15">
      <c r="D528" s="26"/>
      <c r="E528" s="26"/>
      <c r="F528" s="3"/>
      <c r="G528" s="3"/>
      <c r="H528" s="3"/>
    </row>
    <row r="529" spans="4:8" ht="13" x14ac:dyDescent="0.15">
      <c r="D529" s="26"/>
      <c r="E529" s="26"/>
      <c r="F529" s="3"/>
      <c r="G529" s="3"/>
      <c r="H529" s="3"/>
    </row>
    <row r="530" spans="4:8" ht="13" x14ac:dyDescent="0.15">
      <c r="D530" s="26"/>
      <c r="E530" s="26"/>
      <c r="F530" s="3"/>
      <c r="G530" s="3"/>
      <c r="H530" s="3"/>
    </row>
    <row r="531" spans="4:8" ht="13" x14ac:dyDescent="0.15">
      <c r="D531" s="26"/>
      <c r="E531" s="26"/>
      <c r="F531" s="3"/>
      <c r="G531" s="3"/>
      <c r="H531" s="3"/>
    </row>
    <row r="532" spans="4:8" ht="13" x14ac:dyDescent="0.15">
      <c r="D532" s="26"/>
      <c r="E532" s="26"/>
      <c r="F532" s="3"/>
      <c r="G532" s="3"/>
      <c r="H532" s="3"/>
    </row>
    <row r="533" spans="4:8" ht="13" x14ac:dyDescent="0.15">
      <c r="D533" s="26"/>
      <c r="E533" s="26"/>
      <c r="F533" s="3"/>
      <c r="G533" s="3"/>
      <c r="H533" s="3"/>
    </row>
    <row r="534" spans="4:8" ht="13" x14ac:dyDescent="0.15">
      <c r="D534" s="26"/>
      <c r="E534" s="26"/>
      <c r="F534" s="3"/>
      <c r="G534" s="3"/>
      <c r="H534" s="3"/>
    </row>
    <row r="535" spans="4:8" ht="13" x14ac:dyDescent="0.15">
      <c r="D535" s="26"/>
      <c r="E535" s="26"/>
      <c r="F535" s="3"/>
      <c r="G535" s="3"/>
      <c r="H535" s="3"/>
    </row>
    <row r="536" spans="4:8" ht="13" x14ac:dyDescent="0.15">
      <c r="D536" s="26"/>
      <c r="E536" s="26"/>
      <c r="F536" s="3"/>
      <c r="G536" s="3"/>
      <c r="H536" s="3"/>
    </row>
    <row r="537" spans="4:8" ht="13" x14ac:dyDescent="0.15">
      <c r="D537" s="26"/>
      <c r="E537" s="26"/>
      <c r="F537" s="3"/>
      <c r="G537" s="3"/>
      <c r="H537" s="3"/>
    </row>
    <row r="538" spans="4:8" ht="13" x14ac:dyDescent="0.15">
      <c r="D538" s="26"/>
      <c r="E538" s="26"/>
      <c r="F538" s="3"/>
      <c r="G538" s="3"/>
      <c r="H538" s="3"/>
    </row>
    <row r="539" spans="4:8" ht="13" x14ac:dyDescent="0.15">
      <c r="D539" s="26"/>
      <c r="E539" s="26"/>
      <c r="F539" s="3"/>
      <c r="G539" s="3"/>
      <c r="H539" s="3"/>
    </row>
    <row r="540" spans="4:8" ht="13" x14ac:dyDescent="0.15">
      <c r="D540" s="26"/>
      <c r="E540" s="26"/>
      <c r="F540" s="3"/>
      <c r="G540" s="3"/>
      <c r="H540" s="3"/>
    </row>
    <row r="541" spans="4:8" ht="13" x14ac:dyDescent="0.15">
      <c r="D541" s="26"/>
      <c r="E541" s="26"/>
      <c r="F541" s="3"/>
      <c r="G541" s="3"/>
      <c r="H541" s="3"/>
    </row>
    <row r="542" spans="4:8" ht="13" x14ac:dyDescent="0.15">
      <c r="D542" s="26"/>
      <c r="E542" s="26"/>
      <c r="F542" s="3"/>
      <c r="G542" s="3"/>
      <c r="H542" s="3"/>
    </row>
    <row r="543" spans="4:8" ht="13" x14ac:dyDescent="0.15">
      <c r="D543" s="26"/>
      <c r="E543" s="26"/>
      <c r="F543" s="3"/>
      <c r="G543" s="3"/>
      <c r="H543" s="3"/>
    </row>
    <row r="544" spans="4:8" ht="13" x14ac:dyDescent="0.15">
      <c r="D544" s="26"/>
      <c r="E544" s="26"/>
      <c r="F544" s="3"/>
      <c r="G544" s="3"/>
      <c r="H544" s="3"/>
    </row>
    <row r="545" spans="4:8" ht="13" x14ac:dyDescent="0.15">
      <c r="D545" s="26"/>
      <c r="E545" s="26"/>
      <c r="F545" s="3"/>
      <c r="G545" s="3"/>
      <c r="H545" s="3"/>
    </row>
    <row r="546" spans="4:8" ht="13" x14ac:dyDescent="0.15">
      <c r="D546" s="26"/>
      <c r="E546" s="26"/>
      <c r="F546" s="3"/>
      <c r="G546" s="3"/>
      <c r="H546" s="3"/>
    </row>
    <row r="547" spans="4:8" ht="13" x14ac:dyDescent="0.15">
      <c r="D547" s="26"/>
      <c r="E547" s="26"/>
      <c r="F547" s="3"/>
      <c r="G547" s="3"/>
      <c r="H547" s="3"/>
    </row>
    <row r="548" spans="4:8" ht="13" x14ac:dyDescent="0.15">
      <c r="D548" s="26"/>
      <c r="E548" s="26"/>
      <c r="F548" s="3"/>
      <c r="G548" s="3"/>
      <c r="H548" s="3"/>
    </row>
    <row r="549" spans="4:8" ht="13" x14ac:dyDescent="0.15">
      <c r="D549" s="26"/>
      <c r="E549" s="26"/>
      <c r="F549" s="3"/>
      <c r="G549" s="3"/>
      <c r="H549" s="3"/>
    </row>
    <row r="550" spans="4:8" ht="13" x14ac:dyDescent="0.15">
      <c r="D550" s="26"/>
      <c r="E550" s="26"/>
      <c r="F550" s="3"/>
      <c r="G550" s="3"/>
      <c r="H550" s="3"/>
    </row>
    <row r="551" spans="4:8" ht="13" x14ac:dyDescent="0.15">
      <c r="D551" s="26"/>
      <c r="E551" s="26"/>
      <c r="F551" s="3"/>
      <c r="G551" s="3"/>
      <c r="H551" s="3"/>
    </row>
    <row r="552" spans="4:8" ht="13" x14ac:dyDescent="0.15">
      <c r="D552" s="26"/>
      <c r="E552" s="26"/>
      <c r="F552" s="3"/>
      <c r="G552" s="3"/>
      <c r="H552" s="3"/>
    </row>
    <row r="553" spans="4:8" ht="13" x14ac:dyDescent="0.15">
      <c r="D553" s="26"/>
      <c r="E553" s="26"/>
      <c r="F553" s="3"/>
      <c r="G553" s="3"/>
      <c r="H553" s="3"/>
    </row>
    <row r="554" spans="4:8" ht="13" x14ac:dyDescent="0.15">
      <c r="D554" s="26"/>
      <c r="E554" s="26"/>
      <c r="F554" s="3"/>
      <c r="G554" s="3"/>
      <c r="H554" s="3"/>
    </row>
    <row r="555" spans="4:8" ht="13" x14ac:dyDescent="0.15">
      <c r="D555" s="26"/>
      <c r="E555" s="26"/>
      <c r="F555" s="3"/>
      <c r="G555" s="3"/>
      <c r="H555" s="3"/>
    </row>
    <row r="556" spans="4:8" ht="13" x14ac:dyDescent="0.15">
      <c r="D556" s="26"/>
      <c r="E556" s="26"/>
      <c r="F556" s="3"/>
      <c r="G556" s="3"/>
      <c r="H556" s="3"/>
    </row>
    <row r="557" spans="4:8" ht="13" x14ac:dyDescent="0.15">
      <c r="D557" s="26"/>
      <c r="E557" s="26"/>
      <c r="F557" s="3"/>
      <c r="G557" s="3"/>
      <c r="H557" s="3"/>
    </row>
    <row r="558" spans="4:8" ht="13" x14ac:dyDescent="0.15">
      <c r="D558" s="26"/>
      <c r="E558" s="26"/>
      <c r="F558" s="3"/>
      <c r="G558" s="3"/>
      <c r="H558" s="3"/>
    </row>
    <row r="559" spans="4:8" ht="13" x14ac:dyDescent="0.15">
      <c r="D559" s="26"/>
      <c r="E559" s="26"/>
      <c r="F559" s="3"/>
      <c r="G559" s="3"/>
      <c r="H559" s="3"/>
    </row>
    <row r="560" spans="4:8" ht="13" x14ac:dyDescent="0.15">
      <c r="D560" s="26"/>
      <c r="E560" s="26"/>
      <c r="F560" s="3"/>
      <c r="G560" s="3"/>
      <c r="H560" s="3"/>
    </row>
    <row r="561" spans="4:8" ht="13" x14ac:dyDescent="0.15">
      <c r="D561" s="26"/>
      <c r="E561" s="26"/>
      <c r="F561" s="3"/>
      <c r="G561" s="3"/>
      <c r="H561" s="3"/>
    </row>
    <row r="562" spans="4:8" ht="13" x14ac:dyDescent="0.15">
      <c r="D562" s="26"/>
      <c r="E562" s="26"/>
      <c r="F562" s="3"/>
      <c r="G562" s="3"/>
      <c r="H562" s="3"/>
    </row>
    <row r="563" spans="4:8" ht="13" x14ac:dyDescent="0.15">
      <c r="D563" s="26"/>
      <c r="E563" s="26"/>
      <c r="F563" s="3"/>
      <c r="G563" s="3"/>
      <c r="H563" s="3"/>
    </row>
    <row r="564" spans="4:8" ht="13" x14ac:dyDescent="0.15">
      <c r="D564" s="26"/>
      <c r="E564" s="26"/>
      <c r="F564" s="3"/>
      <c r="G564" s="3"/>
      <c r="H564" s="3"/>
    </row>
    <row r="565" spans="4:8" ht="13" x14ac:dyDescent="0.15">
      <c r="D565" s="26"/>
      <c r="E565" s="26"/>
      <c r="F565" s="3"/>
      <c r="G565" s="3"/>
      <c r="H565" s="3"/>
    </row>
    <row r="566" spans="4:8" ht="13" x14ac:dyDescent="0.15">
      <c r="D566" s="26"/>
      <c r="E566" s="26"/>
      <c r="F566" s="3"/>
      <c r="G566" s="3"/>
      <c r="H566" s="3"/>
    </row>
    <row r="567" spans="4:8" ht="13" x14ac:dyDescent="0.15">
      <c r="D567" s="26"/>
      <c r="E567" s="26"/>
      <c r="F567" s="3"/>
      <c r="G567" s="3"/>
      <c r="H567" s="3"/>
    </row>
    <row r="568" spans="4:8" ht="13" x14ac:dyDescent="0.15">
      <c r="D568" s="26"/>
      <c r="E568" s="26"/>
      <c r="F568" s="3"/>
      <c r="G568" s="3"/>
      <c r="H568" s="3"/>
    </row>
    <row r="569" spans="4:8" ht="13" x14ac:dyDescent="0.15">
      <c r="D569" s="26"/>
      <c r="E569" s="26"/>
      <c r="F569" s="3"/>
      <c r="G569" s="3"/>
      <c r="H569" s="3"/>
    </row>
    <row r="570" spans="4:8" ht="13" x14ac:dyDescent="0.15">
      <c r="D570" s="26"/>
      <c r="E570" s="26"/>
      <c r="F570" s="3"/>
      <c r="G570" s="3"/>
      <c r="H570" s="3"/>
    </row>
    <row r="571" spans="4:8" ht="13" x14ac:dyDescent="0.15">
      <c r="D571" s="26"/>
      <c r="E571" s="26"/>
      <c r="F571" s="3"/>
      <c r="G571" s="3"/>
      <c r="H571" s="3"/>
    </row>
    <row r="572" spans="4:8" ht="13" x14ac:dyDescent="0.15">
      <c r="D572" s="26"/>
      <c r="E572" s="26"/>
      <c r="F572" s="3"/>
      <c r="G572" s="3"/>
      <c r="H572" s="3"/>
    </row>
    <row r="573" spans="4:8" ht="13" x14ac:dyDescent="0.15">
      <c r="D573" s="26"/>
      <c r="E573" s="26"/>
      <c r="F573" s="3"/>
      <c r="G573" s="3"/>
      <c r="H573" s="3"/>
    </row>
    <row r="574" spans="4:8" ht="13" x14ac:dyDescent="0.15">
      <c r="D574" s="26"/>
      <c r="E574" s="26"/>
      <c r="F574" s="3"/>
      <c r="G574" s="3"/>
      <c r="H574" s="3"/>
    </row>
    <row r="575" spans="4:8" ht="13" x14ac:dyDescent="0.15">
      <c r="D575" s="26"/>
      <c r="E575" s="26"/>
      <c r="F575" s="3"/>
      <c r="G575" s="3"/>
      <c r="H575" s="3"/>
    </row>
    <row r="576" spans="4:8" ht="13" x14ac:dyDescent="0.15">
      <c r="D576" s="26"/>
      <c r="E576" s="26"/>
      <c r="F576" s="3"/>
      <c r="G576" s="3"/>
      <c r="H576" s="3"/>
    </row>
    <row r="577" spans="4:8" ht="13" x14ac:dyDescent="0.15">
      <c r="D577" s="26"/>
      <c r="E577" s="26"/>
      <c r="F577" s="3"/>
      <c r="G577" s="3"/>
      <c r="H577" s="3"/>
    </row>
    <row r="578" spans="4:8" ht="13" x14ac:dyDescent="0.15">
      <c r="D578" s="26"/>
      <c r="E578" s="26"/>
      <c r="F578" s="3"/>
      <c r="G578" s="3"/>
      <c r="H578" s="3"/>
    </row>
    <row r="579" spans="4:8" ht="13" x14ac:dyDescent="0.15">
      <c r="D579" s="26"/>
      <c r="E579" s="26"/>
      <c r="F579" s="3"/>
      <c r="G579" s="3"/>
      <c r="H579" s="3"/>
    </row>
    <row r="580" spans="4:8" ht="13" x14ac:dyDescent="0.15">
      <c r="D580" s="26"/>
      <c r="E580" s="26"/>
      <c r="F580" s="3"/>
      <c r="G580" s="3"/>
      <c r="H580" s="3"/>
    </row>
    <row r="581" spans="4:8" ht="13" x14ac:dyDescent="0.15">
      <c r="D581" s="26"/>
      <c r="E581" s="26"/>
      <c r="F581" s="3"/>
      <c r="G581" s="3"/>
      <c r="H581" s="3"/>
    </row>
    <row r="582" spans="4:8" ht="13" x14ac:dyDescent="0.15">
      <c r="D582" s="26"/>
      <c r="E582" s="26"/>
      <c r="F582" s="3"/>
      <c r="G582" s="3"/>
      <c r="H582" s="3"/>
    </row>
    <row r="583" spans="4:8" ht="13" x14ac:dyDescent="0.15">
      <c r="D583" s="26"/>
      <c r="E583" s="26"/>
      <c r="F583" s="3"/>
      <c r="G583" s="3"/>
      <c r="H583" s="3"/>
    </row>
    <row r="584" spans="4:8" ht="13" x14ac:dyDescent="0.15">
      <c r="D584" s="26"/>
      <c r="E584" s="26"/>
      <c r="F584" s="3"/>
      <c r="G584" s="3"/>
      <c r="H584" s="3"/>
    </row>
    <row r="585" spans="4:8" ht="13" x14ac:dyDescent="0.15">
      <c r="D585" s="26"/>
      <c r="E585" s="26"/>
      <c r="F585" s="3"/>
      <c r="G585" s="3"/>
      <c r="H585" s="3"/>
    </row>
    <row r="586" spans="4:8" ht="13" x14ac:dyDescent="0.15">
      <c r="D586" s="26"/>
      <c r="E586" s="26"/>
      <c r="F586" s="3"/>
      <c r="G586" s="3"/>
      <c r="H586" s="3"/>
    </row>
    <row r="587" spans="4:8" ht="13" x14ac:dyDescent="0.15">
      <c r="D587" s="26"/>
      <c r="E587" s="26"/>
      <c r="F587" s="3"/>
      <c r="G587" s="3"/>
      <c r="H587" s="3"/>
    </row>
    <row r="588" spans="4:8" ht="13" x14ac:dyDescent="0.15">
      <c r="D588" s="26"/>
      <c r="E588" s="26"/>
      <c r="F588" s="3"/>
      <c r="G588" s="3"/>
      <c r="H588" s="3"/>
    </row>
    <row r="589" spans="4:8" ht="13" x14ac:dyDescent="0.15">
      <c r="D589" s="26"/>
      <c r="E589" s="26"/>
      <c r="F589" s="3"/>
      <c r="G589" s="3"/>
      <c r="H589" s="3"/>
    </row>
    <row r="590" spans="4:8" ht="13" x14ac:dyDescent="0.15">
      <c r="D590" s="26"/>
      <c r="E590" s="26"/>
      <c r="F590" s="3"/>
      <c r="G590" s="3"/>
      <c r="H590" s="3"/>
    </row>
    <row r="591" spans="4:8" ht="13" x14ac:dyDescent="0.15">
      <c r="D591" s="26"/>
      <c r="E591" s="26"/>
      <c r="F591" s="3"/>
      <c r="G591" s="3"/>
      <c r="H591" s="3"/>
    </row>
    <row r="592" spans="4:8" ht="13" x14ac:dyDescent="0.15">
      <c r="D592" s="26"/>
      <c r="E592" s="26"/>
      <c r="F592" s="3"/>
      <c r="G592" s="3"/>
      <c r="H592" s="3"/>
    </row>
    <row r="593" spans="4:8" ht="13" x14ac:dyDescent="0.15">
      <c r="D593" s="26"/>
      <c r="E593" s="26"/>
      <c r="F593" s="3"/>
      <c r="G593" s="3"/>
      <c r="H593" s="3"/>
    </row>
    <row r="594" spans="4:8" ht="13" x14ac:dyDescent="0.15">
      <c r="D594" s="26"/>
      <c r="E594" s="26"/>
      <c r="F594" s="3"/>
      <c r="G594" s="3"/>
      <c r="H594" s="3"/>
    </row>
    <row r="595" spans="4:8" ht="13" x14ac:dyDescent="0.15">
      <c r="D595" s="26"/>
      <c r="E595" s="26"/>
      <c r="F595" s="3"/>
      <c r="G595" s="3"/>
      <c r="H595" s="3"/>
    </row>
    <row r="596" spans="4:8" ht="13" x14ac:dyDescent="0.15">
      <c r="D596" s="26"/>
      <c r="E596" s="26"/>
      <c r="F596" s="3"/>
      <c r="G596" s="3"/>
      <c r="H596" s="3"/>
    </row>
    <row r="597" spans="4:8" ht="13" x14ac:dyDescent="0.15">
      <c r="D597" s="26"/>
      <c r="E597" s="26"/>
      <c r="F597" s="3"/>
      <c r="G597" s="3"/>
      <c r="H597" s="3"/>
    </row>
    <row r="598" spans="4:8" ht="13" x14ac:dyDescent="0.15">
      <c r="D598" s="26"/>
      <c r="E598" s="26"/>
      <c r="F598" s="3"/>
      <c r="G598" s="3"/>
      <c r="H598" s="3"/>
    </row>
    <row r="599" spans="4:8" ht="13" x14ac:dyDescent="0.15">
      <c r="D599" s="26"/>
      <c r="E599" s="26"/>
      <c r="F599" s="3"/>
      <c r="G599" s="3"/>
      <c r="H599" s="3"/>
    </row>
    <row r="600" spans="4:8" ht="13" x14ac:dyDescent="0.15">
      <c r="D600" s="26"/>
      <c r="E600" s="26"/>
      <c r="F600" s="3"/>
      <c r="G600" s="3"/>
      <c r="H600" s="3"/>
    </row>
    <row r="601" spans="4:8" ht="13" x14ac:dyDescent="0.15">
      <c r="D601" s="26"/>
      <c r="E601" s="26"/>
      <c r="F601" s="3"/>
      <c r="G601" s="3"/>
      <c r="H601" s="3"/>
    </row>
    <row r="602" spans="4:8" ht="13" x14ac:dyDescent="0.15">
      <c r="D602" s="26"/>
      <c r="E602" s="26"/>
      <c r="F602" s="3"/>
      <c r="G602" s="3"/>
      <c r="H602" s="3"/>
    </row>
    <row r="603" spans="4:8" ht="13" x14ac:dyDescent="0.15">
      <c r="D603" s="26"/>
      <c r="E603" s="26"/>
      <c r="F603" s="3"/>
      <c r="G603" s="3"/>
      <c r="H603" s="3"/>
    </row>
    <row r="604" spans="4:8" ht="13" x14ac:dyDescent="0.15">
      <c r="D604" s="26"/>
      <c r="E604" s="26"/>
      <c r="F604" s="3"/>
      <c r="G604" s="3"/>
      <c r="H604" s="3"/>
    </row>
    <row r="605" spans="4:8" ht="13" x14ac:dyDescent="0.15">
      <c r="D605" s="26"/>
      <c r="E605" s="26"/>
      <c r="F605" s="3"/>
      <c r="G605" s="3"/>
      <c r="H605" s="3"/>
    </row>
    <row r="606" spans="4:8" ht="13" x14ac:dyDescent="0.15">
      <c r="D606" s="26"/>
      <c r="E606" s="26"/>
      <c r="F606" s="3"/>
      <c r="G606" s="3"/>
      <c r="H606" s="3"/>
    </row>
    <row r="607" spans="4:8" ht="13" x14ac:dyDescent="0.15">
      <c r="D607" s="26"/>
      <c r="E607" s="26"/>
      <c r="F607" s="3"/>
      <c r="G607" s="3"/>
      <c r="H607" s="3"/>
    </row>
    <row r="608" spans="4:8" ht="13" x14ac:dyDescent="0.15">
      <c r="D608" s="26"/>
      <c r="E608" s="26"/>
      <c r="F608" s="3"/>
      <c r="G608" s="3"/>
      <c r="H608" s="3"/>
    </row>
    <row r="609" spans="4:8" ht="13" x14ac:dyDescent="0.15">
      <c r="D609" s="26"/>
      <c r="E609" s="26"/>
      <c r="F609" s="3"/>
      <c r="G609" s="3"/>
      <c r="H609" s="3"/>
    </row>
    <row r="610" spans="4:8" ht="13" x14ac:dyDescent="0.15">
      <c r="D610" s="26"/>
      <c r="E610" s="26"/>
      <c r="F610" s="3"/>
      <c r="G610" s="3"/>
      <c r="H610" s="3"/>
    </row>
    <row r="611" spans="4:8" ht="13" x14ac:dyDescent="0.15">
      <c r="D611" s="26"/>
      <c r="E611" s="26"/>
      <c r="F611" s="3"/>
      <c r="G611" s="3"/>
      <c r="H611" s="3"/>
    </row>
    <row r="612" spans="4:8" ht="13" x14ac:dyDescent="0.15">
      <c r="D612" s="26"/>
      <c r="E612" s="26"/>
      <c r="F612" s="3"/>
      <c r="G612" s="3"/>
      <c r="H612" s="3"/>
    </row>
    <row r="613" spans="4:8" ht="13" x14ac:dyDescent="0.15">
      <c r="D613" s="26"/>
      <c r="E613" s="26"/>
      <c r="F613" s="3"/>
      <c r="G613" s="3"/>
      <c r="H613" s="3"/>
    </row>
    <row r="614" spans="4:8" ht="13" x14ac:dyDescent="0.15">
      <c r="D614" s="26"/>
      <c r="E614" s="26"/>
      <c r="F614" s="3"/>
      <c r="G614" s="3"/>
      <c r="H614" s="3"/>
    </row>
    <row r="615" spans="4:8" ht="13" x14ac:dyDescent="0.15">
      <c r="D615" s="26"/>
      <c r="E615" s="26"/>
      <c r="F615" s="3"/>
      <c r="G615" s="3"/>
      <c r="H615" s="3"/>
    </row>
    <row r="616" spans="4:8" ht="13" x14ac:dyDescent="0.15">
      <c r="D616" s="26"/>
      <c r="E616" s="26"/>
      <c r="F616" s="3"/>
      <c r="G616" s="3"/>
      <c r="H616" s="3"/>
    </row>
    <row r="617" spans="4:8" ht="13" x14ac:dyDescent="0.15">
      <c r="D617" s="26"/>
      <c r="E617" s="26"/>
      <c r="F617" s="3"/>
      <c r="G617" s="3"/>
      <c r="H617" s="3"/>
    </row>
    <row r="618" spans="4:8" ht="13" x14ac:dyDescent="0.15">
      <c r="D618" s="26"/>
      <c r="E618" s="26"/>
      <c r="F618" s="3"/>
      <c r="G618" s="3"/>
      <c r="H618" s="3"/>
    </row>
    <row r="619" spans="4:8" ht="13" x14ac:dyDescent="0.15">
      <c r="D619" s="26"/>
      <c r="E619" s="26"/>
      <c r="F619" s="3"/>
      <c r="G619" s="3"/>
      <c r="H619" s="3"/>
    </row>
    <row r="620" spans="4:8" ht="13" x14ac:dyDescent="0.15">
      <c r="D620" s="26"/>
      <c r="E620" s="26"/>
      <c r="F620" s="3"/>
      <c r="G620" s="3"/>
      <c r="H620" s="3"/>
    </row>
    <row r="621" spans="4:8" ht="13" x14ac:dyDescent="0.15">
      <c r="D621" s="26"/>
      <c r="E621" s="26"/>
      <c r="F621" s="3"/>
      <c r="G621" s="3"/>
      <c r="H621" s="3"/>
    </row>
    <row r="622" spans="4:8" ht="13" x14ac:dyDescent="0.15">
      <c r="D622" s="26"/>
      <c r="E622" s="26"/>
      <c r="F622" s="3"/>
      <c r="G622" s="3"/>
      <c r="H622" s="3"/>
    </row>
    <row r="623" spans="4:8" ht="13" x14ac:dyDescent="0.15">
      <c r="D623" s="26"/>
      <c r="E623" s="26"/>
      <c r="F623" s="3"/>
      <c r="G623" s="3"/>
      <c r="H623" s="3"/>
    </row>
    <row r="624" spans="4:8" ht="13" x14ac:dyDescent="0.15">
      <c r="D624" s="26"/>
      <c r="E624" s="26"/>
      <c r="F624" s="3"/>
      <c r="G624" s="3"/>
      <c r="H624" s="3"/>
    </row>
    <row r="625" spans="4:8" ht="13" x14ac:dyDescent="0.15">
      <c r="D625" s="26"/>
      <c r="E625" s="26"/>
      <c r="F625" s="3"/>
      <c r="G625" s="3"/>
      <c r="H625" s="3"/>
    </row>
    <row r="626" spans="4:8" ht="13" x14ac:dyDescent="0.15">
      <c r="D626" s="26"/>
      <c r="E626" s="26"/>
      <c r="F626" s="3"/>
      <c r="G626" s="3"/>
      <c r="H626" s="3"/>
    </row>
    <row r="627" spans="4:8" ht="13" x14ac:dyDescent="0.15">
      <c r="D627" s="26"/>
      <c r="E627" s="26"/>
      <c r="F627" s="3"/>
      <c r="G627" s="3"/>
      <c r="H627" s="3"/>
    </row>
    <row r="628" spans="4:8" ht="13" x14ac:dyDescent="0.15">
      <c r="D628" s="26"/>
      <c r="E628" s="26"/>
      <c r="F628" s="3"/>
      <c r="G628" s="3"/>
      <c r="H628" s="3"/>
    </row>
    <row r="629" spans="4:8" ht="13" x14ac:dyDescent="0.15">
      <c r="D629" s="26"/>
      <c r="E629" s="26"/>
      <c r="F629" s="3"/>
      <c r="G629" s="3"/>
      <c r="H629" s="3"/>
    </row>
    <row r="630" spans="4:8" ht="13" x14ac:dyDescent="0.15">
      <c r="D630" s="26"/>
      <c r="E630" s="26"/>
      <c r="F630" s="3"/>
      <c r="G630" s="3"/>
      <c r="H630" s="3"/>
    </row>
    <row r="631" spans="4:8" ht="13" x14ac:dyDescent="0.15">
      <c r="D631" s="26"/>
      <c r="E631" s="26"/>
      <c r="F631" s="3"/>
      <c r="G631" s="3"/>
      <c r="H631" s="3"/>
    </row>
    <row r="632" spans="4:8" ht="13" x14ac:dyDescent="0.15">
      <c r="D632" s="26"/>
      <c r="E632" s="26"/>
      <c r="F632" s="3"/>
      <c r="G632" s="3"/>
      <c r="H632" s="3"/>
    </row>
    <row r="633" spans="4:8" ht="13" x14ac:dyDescent="0.15">
      <c r="D633" s="26"/>
      <c r="E633" s="26"/>
      <c r="F633" s="3"/>
      <c r="G633" s="3"/>
      <c r="H633" s="3"/>
    </row>
    <row r="634" spans="4:8" ht="13" x14ac:dyDescent="0.15">
      <c r="D634" s="26"/>
      <c r="E634" s="26"/>
      <c r="F634" s="3"/>
      <c r="G634" s="3"/>
      <c r="H634" s="3"/>
    </row>
    <row r="635" spans="4:8" ht="13" x14ac:dyDescent="0.15">
      <c r="D635" s="26"/>
      <c r="E635" s="26"/>
      <c r="F635" s="3"/>
      <c r="G635" s="3"/>
      <c r="H635" s="3"/>
    </row>
    <row r="636" spans="4:8" ht="13" x14ac:dyDescent="0.15">
      <c r="D636" s="26"/>
      <c r="E636" s="26"/>
      <c r="F636" s="3"/>
      <c r="G636" s="3"/>
      <c r="H636" s="3"/>
    </row>
    <row r="637" spans="4:8" ht="13" x14ac:dyDescent="0.15">
      <c r="D637" s="26"/>
      <c r="E637" s="26"/>
      <c r="F637" s="3"/>
      <c r="G637" s="3"/>
      <c r="H637" s="3"/>
    </row>
    <row r="638" spans="4:8" ht="13" x14ac:dyDescent="0.15">
      <c r="D638" s="26"/>
      <c r="E638" s="26"/>
      <c r="F638" s="3"/>
      <c r="G638" s="3"/>
      <c r="H638" s="3"/>
    </row>
    <row r="639" spans="4:8" ht="13" x14ac:dyDescent="0.15">
      <c r="D639" s="26"/>
      <c r="E639" s="26"/>
      <c r="F639" s="3"/>
      <c r="G639" s="3"/>
      <c r="H639" s="3"/>
    </row>
    <row r="640" spans="4:8" ht="13" x14ac:dyDescent="0.15">
      <c r="D640" s="26"/>
      <c r="E640" s="26"/>
      <c r="F640" s="3"/>
      <c r="G640" s="3"/>
      <c r="H640" s="3"/>
    </row>
    <row r="641" spans="4:8" ht="13" x14ac:dyDescent="0.15">
      <c r="D641" s="26"/>
      <c r="E641" s="26"/>
      <c r="F641" s="3"/>
      <c r="G641" s="3"/>
      <c r="H641" s="3"/>
    </row>
    <row r="642" spans="4:8" ht="13" x14ac:dyDescent="0.15">
      <c r="D642" s="26"/>
      <c r="E642" s="26"/>
      <c r="F642" s="3"/>
      <c r="G642" s="3"/>
      <c r="H642" s="3"/>
    </row>
    <row r="643" spans="4:8" ht="13" x14ac:dyDescent="0.15">
      <c r="D643" s="26"/>
      <c r="E643" s="26"/>
      <c r="F643" s="3"/>
      <c r="G643" s="3"/>
      <c r="H643" s="3"/>
    </row>
    <row r="644" spans="4:8" ht="13" x14ac:dyDescent="0.15">
      <c r="D644" s="26"/>
      <c r="E644" s="26"/>
      <c r="F644" s="3"/>
      <c r="G644" s="3"/>
      <c r="H644" s="3"/>
    </row>
    <row r="645" spans="4:8" ht="13" x14ac:dyDescent="0.15">
      <c r="D645" s="26"/>
      <c r="E645" s="26"/>
      <c r="F645" s="3"/>
      <c r="G645" s="3"/>
      <c r="H645" s="3"/>
    </row>
    <row r="646" spans="4:8" ht="13" x14ac:dyDescent="0.15">
      <c r="D646" s="26"/>
      <c r="E646" s="26"/>
      <c r="F646" s="3"/>
      <c r="G646" s="3"/>
      <c r="H646" s="3"/>
    </row>
    <row r="647" spans="4:8" ht="13" x14ac:dyDescent="0.15">
      <c r="D647" s="26"/>
      <c r="E647" s="26"/>
      <c r="F647" s="3"/>
      <c r="G647" s="3"/>
      <c r="H647" s="3"/>
    </row>
    <row r="648" spans="4:8" ht="13" x14ac:dyDescent="0.15">
      <c r="D648" s="26"/>
      <c r="E648" s="26"/>
      <c r="F648" s="3"/>
      <c r="G648" s="3"/>
      <c r="H648" s="3"/>
    </row>
    <row r="649" spans="4:8" ht="13" x14ac:dyDescent="0.15">
      <c r="D649" s="26"/>
      <c r="E649" s="26"/>
      <c r="F649" s="3"/>
      <c r="G649" s="3"/>
      <c r="H649" s="3"/>
    </row>
    <row r="650" spans="4:8" ht="13" x14ac:dyDescent="0.15">
      <c r="D650" s="26"/>
      <c r="E650" s="26"/>
      <c r="F650" s="3"/>
      <c r="G650" s="3"/>
      <c r="H650" s="3"/>
    </row>
    <row r="651" spans="4:8" ht="13" x14ac:dyDescent="0.15">
      <c r="D651" s="26"/>
      <c r="E651" s="26"/>
      <c r="F651" s="3"/>
      <c r="G651" s="3"/>
      <c r="H651" s="3"/>
    </row>
    <row r="652" spans="4:8" ht="13" x14ac:dyDescent="0.15">
      <c r="D652" s="26"/>
      <c r="E652" s="26"/>
      <c r="F652" s="3"/>
      <c r="G652" s="3"/>
      <c r="H652" s="3"/>
    </row>
    <row r="653" spans="4:8" ht="13" x14ac:dyDescent="0.15">
      <c r="D653" s="26"/>
      <c r="E653" s="26"/>
      <c r="F653" s="3"/>
      <c r="G653" s="3"/>
      <c r="H653" s="3"/>
    </row>
    <row r="654" spans="4:8" ht="13" x14ac:dyDescent="0.15">
      <c r="D654" s="26"/>
      <c r="E654" s="26"/>
      <c r="F654" s="3"/>
      <c r="G654" s="3"/>
      <c r="H654" s="3"/>
    </row>
    <row r="655" spans="4:8" ht="13" x14ac:dyDescent="0.15">
      <c r="D655" s="26"/>
      <c r="E655" s="26"/>
      <c r="F655" s="3"/>
      <c r="G655" s="3"/>
      <c r="H655" s="3"/>
    </row>
    <row r="656" spans="4:8" ht="13" x14ac:dyDescent="0.15">
      <c r="D656" s="26"/>
      <c r="E656" s="26"/>
      <c r="F656" s="3"/>
      <c r="G656" s="3"/>
      <c r="H656" s="3"/>
    </row>
    <row r="657" spans="4:8" ht="13" x14ac:dyDescent="0.15">
      <c r="D657" s="26"/>
      <c r="E657" s="26"/>
      <c r="F657" s="3"/>
      <c r="G657" s="3"/>
      <c r="H657" s="3"/>
    </row>
    <row r="658" spans="4:8" ht="13" x14ac:dyDescent="0.15">
      <c r="D658" s="26"/>
      <c r="E658" s="26"/>
      <c r="F658" s="3"/>
      <c r="G658" s="3"/>
      <c r="H658" s="3"/>
    </row>
    <row r="659" spans="4:8" ht="13" x14ac:dyDescent="0.15">
      <c r="D659" s="26"/>
      <c r="E659" s="26"/>
      <c r="F659" s="3"/>
      <c r="G659" s="3"/>
      <c r="H659" s="3"/>
    </row>
    <row r="660" spans="4:8" ht="13" x14ac:dyDescent="0.15">
      <c r="D660" s="26"/>
      <c r="E660" s="26"/>
      <c r="F660" s="3"/>
      <c r="G660" s="3"/>
      <c r="H660" s="3"/>
    </row>
    <row r="661" spans="4:8" ht="13" x14ac:dyDescent="0.15">
      <c r="D661" s="26"/>
      <c r="E661" s="26"/>
      <c r="F661" s="3"/>
      <c r="G661" s="3"/>
      <c r="H661" s="3"/>
    </row>
    <row r="662" spans="4:8" ht="13" x14ac:dyDescent="0.15">
      <c r="D662" s="26"/>
      <c r="E662" s="26"/>
      <c r="F662" s="3"/>
      <c r="G662" s="3"/>
      <c r="H662" s="3"/>
    </row>
    <row r="663" spans="4:8" ht="13" x14ac:dyDescent="0.15">
      <c r="D663" s="26"/>
      <c r="E663" s="26"/>
      <c r="F663" s="3"/>
      <c r="G663" s="3"/>
      <c r="H663" s="3"/>
    </row>
    <row r="664" spans="4:8" ht="13" x14ac:dyDescent="0.15">
      <c r="D664" s="26"/>
      <c r="E664" s="26"/>
      <c r="F664" s="3"/>
      <c r="G664" s="3"/>
      <c r="H664" s="3"/>
    </row>
    <row r="665" spans="4:8" ht="13" x14ac:dyDescent="0.15">
      <c r="D665" s="26"/>
      <c r="E665" s="26"/>
      <c r="F665" s="3"/>
      <c r="G665" s="3"/>
      <c r="H665" s="3"/>
    </row>
    <row r="666" spans="4:8" ht="13" x14ac:dyDescent="0.15">
      <c r="D666" s="26"/>
      <c r="E666" s="26"/>
      <c r="F666" s="3"/>
      <c r="G666" s="3"/>
      <c r="H666" s="3"/>
    </row>
    <row r="667" spans="4:8" ht="13" x14ac:dyDescent="0.15">
      <c r="D667" s="26"/>
      <c r="E667" s="26"/>
      <c r="F667" s="3"/>
      <c r="G667" s="3"/>
      <c r="H667" s="3"/>
    </row>
    <row r="668" spans="4:8" ht="13" x14ac:dyDescent="0.15">
      <c r="D668" s="26"/>
      <c r="E668" s="26"/>
      <c r="F668" s="3"/>
      <c r="G668" s="3"/>
      <c r="H668" s="3"/>
    </row>
    <row r="669" spans="4:8" ht="13" x14ac:dyDescent="0.15">
      <c r="D669" s="26"/>
      <c r="E669" s="26"/>
      <c r="F669" s="3"/>
      <c r="G669" s="3"/>
      <c r="H669" s="3"/>
    </row>
    <row r="670" spans="4:8" ht="13" x14ac:dyDescent="0.15">
      <c r="D670" s="26"/>
      <c r="E670" s="26"/>
      <c r="F670" s="3"/>
      <c r="G670" s="3"/>
      <c r="H670" s="3"/>
    </row>
    <row r="671" spans="4:8" ht="13" x14ac:dyDescent="0.15">
      <c r="D671" s="26"/>
      <c r="E671" s="26"/>
      <c r="F671" s="3"/>
      <c r="G671" s="3"/>
      <c r="H671" s="3"/>
    </row>
    <row r="672" spans="4:8" ht="13" x14ac:dyDescent="0.15">
      <c r="D672" s="26"/>
      <c r="E672" s="26"/>
      <c r="F672" s="3"/>
      <c r="G672" s="3"/>
      <c r="H672" s="3"/>
    </row>
    <row r="673" spans="4:8" ht="13" x14ac:dyDescent="0.15">
      <c r="D673" s="26"/>
      <c r="E673" s="26"/>
      <c r="F673" s="3"/>
      <c r="G673" s="3"/>
      <c r="H673" s="3"/>
    </row>
    <row r="674" spans="4:8" ht="13" x14ac:dyDescent="0.15">
      <c r="D674" s="26"/>
      <c r="E674" s="26"/>
      <c r="F674" s="3"/>
      <c r="G674" s="3"/>
      <c r="H674" s="3"/>
    </row>
    <row r="675" spans="4:8" ht="13" x14ac:dyDescent="0.15">
      <c r="D675" s="26"/>
      <c r="E675" s="26"/>
      <c r="F675" s="3"/>
      <c r="G675" s="3"/>
      <c r="H675" s="3"/>
    </row>
    <row r="676" spans="4:8" ht="13" x14ac:dyDescent="0.15">
      <c r="D676" s="26"/>
      <c r="E676" s="26"/>
      <c r="F676" s="3"/>
      <c r="G676" s="3"/>
      <c r="H676" s="3"/>
    </row>
    <row r="677" spans="4:8" ht="13" x14ac:dyDescent="0.15">
      <c r="D677" s="26"/>
      <c r="E677" s="26"/>
      <c r="F677" s="3"/>
      <c r="G677" s="3"/>
      <c r="H677" s="3"/>
    </row>
    <row r="678" spans="4:8" ht="13" x14ac:dyDescent="0.15">
      <c r="D678" s="26"/>
      <c r="E678" s="26"/>
      <c r="F678" s="3"/>
      <c r="G678" s="3"/>
      <c r="H678" s="3"/>
    </row>
    <row r="679" spans="4:8" ht="13" x14ac:dyDescent="0.15">
      <c r="D679" s="26"/>
      <c r="E679" s="26"/>
      <c r="F679" s="3"/>
      <c r="G679" s="3"/>
      <c r="H679" s="3"/>
    </row>
    <row r="680" spans="4:8" ht="13" x14ac:dyDescent="0.15">
      <c r="D680" s="26"/>
      <c r="E680" s="26"/>
      <c r="F680" s="3"/>
      <c r="G680" s="3"/>
      <c r="H680" s="3"/>
    </row>
    <row r="681" spans="4:8" ht="13" x14ac:dyDescent="0.15">
      <c r="D681" s="26"/>
      <c r="E681" s="26"/>
      <c r="F681" s="3"/>
      <c r="G681" s="3"/>
      <c r="H681" s="3"/>
    </row>
    <row r="682" spans="4:8" ht="13" x14ac:dyDescent="0.15">
      <c r="D682" s="26"/>
      <c r="E682" s="26"/>
      <c r="F682" s="3"/>
      <c r="G682" s="3"/>
      <c r="H682" s="3"/>
    </row>
    <row r="683" spans="4:8" ht="13" x14ac:dyDescent="0.15">
      <c r="D683" s="26"/>
      <c r="E683" s="26"/>
      <c r="F683" s="3"/>
      <c r="G683" s="3"/>
      <c r="H683" s="3"/>
    </row>
    <row r="684" spans="4:8" ht="13" x14ac:dyDescent="0.15">
      <c r="D684" s="26"/>
      <c r="E684" s="26"/>
      <c r="F684" s="3"/>
      <c r="G684" s="3"/>
      <c r="H684" s="3"/>
    </row>
    <row r="685" spans="4:8" ht="13" x14ac:dyDescent="0.15">
      <c r="D685" s="26"/>
      <c r="E685" s="26"/>
      <c r="F685" s="3"/>
      <c r="G685" s="3"/>
      <c r="H685" s="3"/>
    </row>
    <row r="686" spans="4:8" ht="13" x14ac:dyDescent="0.15">
      <c r="D686" s="26"/>
      <c r="E686" s="26"/>
      <c r="F686" s="3"/>
      <c r="G686" s="3"/>
      <c r="H686" s="3"/>
    </row>
    <row r="687" spans="4:8" ht="13" x14ac:dyDescent="0.15">
      <c r="D687" s="26"/>
      <c r="E687" s="26"/>
      <c r="F687" s="3"/>
      <c r="G687" s="3"/>
      <c r="H687" s="3"/>
    </row>
    <row r="688" spans="4:8" ht="13" x14ac:dyDescent="0.15">
      <c r="D688" s="26"/>
      <c r="E688" s="26"/>
      <c r="F688" s="3"/>
      <c r="G688" s="3"/>
      <c r="H688" s="3"/>
    </row>
    <row r="689" spans="4:8" ht="13" x14ac:dyDescent="0.15">
      <c r="D689" s="26"/>
      <c r="E689" s="26"/>
      <c r="F689" s="3"/>
      <c r="G689" s="3"/>
      <c r="H689" s="3"/>
    </row>
    <row r="690" spans="4:8" ht="13" x14ac:dyDescent="0.15">
      <c r="D690" s="26"/>
      <c r="E690" s="26"/>
      <c r="F690" s="3"/>
      <c r="G690" s="3"/>
      <c r="H690" s="3"/>
    </row>
    <row r="691" spans="4:8" ht="13" x14ac:dyDescent="0.15">
      <c r="D691" s="26"/>
      <c r="E691" s="26"/>
      <c r="F691" s="3"/>
      <c r="G691" s="3"/>
      <c r="H691" s="3"/>
    </row>
    <row r="692" spans="4:8" ht="13" x14ac:dyDescent="0.15">
      <c r="D692" s="26"/>
      <c r="E692" s="26"/>
      <c r="F692" s="3"/>
      <c r="G692" s="3"/>
      <c r="H692" s="3"/>
    </row>
    <row r="693" spans="4:8" ht="13" x14ac:dyDescent="0.15">
      <c r="D693" s="26"/>
      <c r="E693" s="26"/>
      <c r="F693" s="3"/>
      <c r="G693" s="3"/>
      <c r="H693" s="3"/>
    </row>
    <row r="694" spans="4:8" ht="13" x14ac:dyDescent="0.15">
      <c r="D694" s="26"/>
      <c r="E694" s="26"/>
      <c r="F694" s="3"/>
      <c r="G694" s="3"/>
      <c r="H694" s="3"/>
    </row>
    <row r="695" spans="4:8" ht="13" x14ac:dyDescent="0.15">
      <c r="D695" s="26"/>
      <c r="E695" s="26"/>
      <c r="F695" s="3"/>
      <c r="G695" s="3"/>
      <c r="H695" s="3"/>
    </row>
    <row r="696" spans="4:8" ht="13" x14ac:dyDescent="0.15">
      <c r="D696" s="26"/>
      <c r="E696" s="26"/>
      <c r="F696" s="3"/>
      <c r="G696" s="3"/>
      <c r="H696" s="3"/>
    </row>
    <row r="697" spans="4:8" ht="13" x14ac:dyDescent="0.15">
      <c r="D697" s="26"/>
      <c r="E697" s="26"/>
      <c r="F697" s="3"/>
      <c r="G697" s="3"/>
      <c r="H697" s="3"/>
    </row>
    <row r="698" spans="4:8" ht="13" x14ac:dyDescent="0.15">
      <c r="D698" s="26"/>
      <c r="E698" s="26"/>
      <c r="F698" s="3"/>
      <c r="G698" s="3"/>
      <c r="H698" s="3"/>
    </row>
    <row r="699" spans="4:8" ht="13" x14ac:dyDescent="0.15">
      <c r="D699" s="26"/>
      <c r="E699" s="26"/>
      <c r="F699" s="3"/>
      <c r="G699" s="3"/>
      <c r="H699" s="3"/>
    </row>
    <row r="700" spans="4:8" ht="13" x14ac:dyDescent="0.15">
      <c r="D700" s="26"/>
      <c r="E700" s="26"/>
      <c r="F700" s="3"/>
      <c r="G700" s="3"/>
      <c r="H700" s="3"/>
    </row>
    <row r="701" spans="4:8" ht="13" x14ac:dyDescent="0.15">
      <c r="D701" s="26"/>
      <c r="E701" s="26"/>
      <c r="F701" s="3"/>
      <c r="G701" s="3"/>
      <c r="H701" s="3"/>
    </row>
    <row r="702" spans="4:8" ht="13" x14ac:dyDescent="0.15">
      <c r="D702" s="26"/>
      <c r="E702" s="26"/>
      <c r="F702" s="3"/>
      <c r="G702" s="3"/>
      <c r="H702" s="3"/>
    </row>
    <row r="703" spans="4:8" ht="13" x14ac:dyDescent="0.15">
      <c r="D703" s="26"/>
      <c r="E703" s="26"/>
      <c r="F703" s="3"/>
      <c r="G703" s="3"/>
      <c r="H703" s="3"/>
    </row>
    <row r="704" spans="4:8" ht="13" x14ac:dyDescent="0.15">
      <c r="D704" s="26"/>
      <c r="E704" s="26"/>
      <c r="F704" s="3"/>
      <c r="G704" s="3"/>
      <c r="H704" s="3"/>
    </row>
    <row r="705" spans="4:8" ht="13" x14ac:dyDescent="0.15">
      <c r="D705" s="26"/>
      <c r="E705" s="26"/>
      <c r="F705" s="3"/>
      <c r="G705" s="3"/>
      <c r="H705" s="3"/>
    </row>
    <row r="706" spans="4:8" ht="13" x14ac:dyDescent="0.15">
      <c r="D706" s="26"/>
      <c r="E706" s="26"/>
      <c r="F706" s="3"/>
      <c r="G706" s="3"/>
      <c r="H706" s="3"/>
    </row>
    <row r="707" spans="4:8" ht="13" x14ac:dyDescent="0.15">
      <c r="D707" s="26"/>
      <c r="E707" s="26"/>
      <c r="F707" s="3"/>
      <c r="G707" s="3"/>
      <c r="H707" s="3"/>
    </row>
    <row r="708" spans="4:8" ht="13" x14ac:dyDescent="0.15">
      <c r="D708" s="26"/>
      <c r="E708" s="26"/>
      <c r="F708" s="3"/>
      <c r="G708" s="3"/>
      <c r="H708" s="3"/>
    </row>
    <row r="709" spans="4:8" ht="13" x14ac:dyDescent="0.15">
      <c r="D709" s="26"/>
      <c r="E709" s="26"/>
      <c r="F709" s="3"/>
      <c r="G709" s="3"/>
      <c r="H709" s="3"/>
    </row>
    <row r="710" spans="4:8" ht="13" x14ac:dyDescent="0.15">
      <c r="D710" s="26"/>
      <c r="E710" s="26"/>
      <c r="F710" s="3"/>
      <c r="G710" s="3"/>
      <c r="H710" s="3"/>
    </row>
    <row r="711" spans="4:8" ht="13" x14ac:dyDescent="0.15">
      <c r="D711" s="26"/>
      <c r="E711" s="26"/>
      <c r="F711" s="3"/>
      <c r="G711" s="3"/>
      <c r="H711" s="3"/>
    </row>
    <row r="712" spans="4:8" ht="13" x14ac:dyDescent="0.15">
      <c r="D712" s="26"/>
      <c r="E712" s="26"/>
      <c r="F712" s="3"/>
      <c r="G712" s="3"/>
      <c r="H712" s="3"/>
    </row>
    <row r="713" spans="4:8" ht="13" x14ac:dyDescent="0.15">
      <c r="D713" s="26"/>
      <c r="E713" s="26"/>
      <c r="F713" s="3"/>
      <c r="G713" s="3"/>
      <c r="H713" s="3"/>
    </row>
    <row r="714" spans="4:8" ht="13" x14ac:dyDescent="0.15">
      <c r="D714" s="26"/>
      <c r="E714" s="26"/>
      <c r="F714" s="3"/>
      <c r="G714" s="3"/>
      <c r="H714" s="3"/>
    </row>
    <row r="715" spans="4:8" ht="13" x14ac:dyDescent="0.15">
      <c r="D715" s="26"/>
      <c r="E715" s="26"/>
      <c r="F715" s="3"/>
      <c r="G715" s="3"/>
      <c r="H715" s="3"/>
    </row>
    <row r="716" spans="4:8" ht="13" x14ac:dyDescent="0.15">
      <c r="D716" s="26"/>
      <c r="E716" s="26"/>
      <c r="F716" s="3"/>
      <c r="G716" s="3"/>
      <c r="H716" s="3"/>
    </row>
    <row r="717" spans="4:8" ht="13" x14ac:dyDescent="0.15">
      <c r="D717" s="26"/>
      <c r="E717" s="26"/>
      <c r="F717" s="3"/>
      <c r="G717" s="3"/>
      <c r="H717" s="3"/>
    </row>
    <row r="718" spans="4:8" ht="13" x14ac:dyDescent="0.15">
      <c r="D718" s="26"/>
      <c r="E718" s="26"/>
      <c r="F718" s="3"/>
      <c r="G718" s="3"/>
      <c r="H718" s="3"/>
    </row>
    <row r="719" spans="4:8" ht="13" x14ac:dyDescent="0.15">
      <c r="D719" s="26"/>
      <c r="E719" s="26"/>
      <c r="F719" s="3"/>
      <c r="G719" s="3"/>
      <c r="H719" s="3"/>
    </row>
    <row r="720" spans="4:8" ht="13" x14ac:dyDescent="0.15">
      <c r="D720" s="26"/>
      <c r="E720" s="26"/>
      <c r="F720" s="3"/>
      <c r="G720" s="3"/>
      <c r="H720" s="3"/>
    </row>
    <row r="721" spans="4:8" ht="13" x14ac:dyDescent="0.15">
      <c r="D721" s="26"/>
      <c r="E721" s="26"/>
      <c r="F721" s="3"/>
      <c r="G721" s="3"/>
      <c r="H721" s="3"/>
    </row>
    <row r="722" spans="4:8" ht="13" x14ac:dyDescent="0.15">
      <c r="D722" s="26"/>
      <c r="E722" s="26"/>
      <c r="F722" s="3"/>
      <c r="G722" s="3"/>
      <c r="H722" s="3"/>
    </row>
    <row r="723" spans="4:8" ht="13" x14ac:dyDescent="0.15">
      <c r="D723" s="26"/>
      <c r="E723" s="26"/>
      <c r="F723" s="3"/>
      <c r="G723" s="3"/>
      <c r="H723" s="3"/>
    </row>
    <row r="724" spans="4:8" ht="13" x14ac:dyDescent="0.15">
      <c r="D724" s="26"/>
      <c r="E724" s="26"/>
      <c r="F724" s="3"/>
      <c r="G724" s="3"/>
      <c r="H724" s="3"/>
    </row>
    <row r="725" spans="4:8" ht="13" x14ac:dyDescent="0.15">
      <c r="D725" s="26"/>
      <c r="E725" s="26"/>
      <c r="F725" s="3"/>
      <c r="G725" s="3"/>
      <c r="H725" s="3"/>
    </row>
    <row r="726" spans="4:8" ht="13" x14ac:dyDescent="0.15">
      <c r="D726" s="26"/>
      <c r="E726" s="26"/>
      <c r="F726" s="3"/>
      <c r="G726" s="3"/>
      <c r="H726" s="3"/>
    </row>
    <row r="727" spans="4:8" ht="13" x14ac:dyDescent="0.15">
      <c r="D727" s="26"/>
      <c r="E727" s="26"/>
      <c r="F727" s="3"/>
      <c r="G727" s="3"/>
      <c r="H727" s="3"/>
    </row>
    <row r="728" spans="4:8" ht="13" x14ac:dyDescent="0.15">
      <c r="D728" s="26"/>
      <c r="E728" s="26"/>
      <c r="F728" s="3"/>
      <c r="G728" s="3"/>
      <c r="H728" s="3"/>
    </row>
    <row r="729" spans="4:8" ht="13" x14ac:dyDescent="0.15">
      <c r="D729" s="26"/>
      <c r="E729" s="26"/>
      <c r="F729" s="3"/>
      <c r="G729" s="3"/>
      <c r="H729" s="3"/>
    </row>
    <row r="730" spans="4:8" ht="13" x14ac:dyDescent="0.15">
      <c r="D730" s="26"/>
      <c r="E730" s="26"/>
      <c r="F730" s="3"/>
      <c r="G730" s="3"/>
      <c r="H730" s="3"/>
    </row>
    <row r="731" spans="4:8" ht="13" x14ac:dyDescent="0.15">
      <c r="D731" s="26"/>
      <c r="E731" s="26"/>
      <c r="F731" s="3"/>
      <c r="G731" s="3"/>
      <c r="H731" s="3"/>
    </row>
    <row r="732" spans="4:8" ht="13" x14ac:dyDescent="0.15">
      <c r="D732" s="26"/>
      <c r="E732" s="26"/>
      <c r="F732" s="3"/>
      <c r="G732" s="3"/>
      <c r="H732" s="3"/>
    </row>
    <row r="733" spans="4:8" ht="13" x14ac:dyDescent="0.15">
      <c r="D733" s="26"/>
      <c r="E733" s="26"/>
      <c r="F733" s="3"/>
      <c r="G733" s="3"/>
      <c r="H733" s="3"/>
    </row>
    <row r="734" spans="4:8" ht="13" x14ac:dyDescent="0.15">
      <c r="D734" s="26"/>
      <c r="E734" s="26"/>
      <c r="F734" s="3"/>
      <c r="G734" s="3"/>
      <c r="H734" s="3"/>
    </row>
    <row r="735" spans="4:8" ht="13" x14ac:dyDescent="0.15">
      <c r="D735" s="26"/>
      <c r="E735" s="26"/>
      <c r="F735" s="3"/>
      <c r="G735" s="3"/>
      <c r="H735" s="3"/>
    </row>
    <row r="736" spans="4:8" ht="13" x14ac:dyDescent="0.15">
      <c r="D736" s="26"/>
      <c r="E736" s="26"/>
      <c r="F736" s="3"/>
      <c r="G736" s="3"/>
      <c r="H736" s="3"/>
    </row>
    <row r="737" spans="4:8" ht="13" x14ac:dyDescent="0.15">
      <c r="D737" s="26"/>
      <c r="E737" s="26"/>
      <c r="F737" s="3"/>
      <c r="G737" s="3"/>
      <c r="H737" s="3"/>
    </row>
    <row r="738" spans="4:8" ht="13" x14ac:dyDescent="0.15">
      <c r="D738" s="26"/>
      <c r="E738" s="26"/>
      <c r="F738" s="3"/>
      <c r="G738" s="3"/>
      <c r="H738" s="3"/>
    </row>
    <row r="739" spans="4:8" ht="13" x14ac:dyDescent="0.15">
      <c r="D739" s="26"/>
      <c r="E739" s="26"/>
      <c r="F739" s="3"/>
      <c r="G739" s="3"/>
      <c r="H739" s="3"/>
    </row>
    <row r="740" spans="4:8" ht="13" x14ac:dyDescent="0.15">
      <c r="D740" s="26"/>
      <c r="E740" s="26"/>
      <c r="F740" s="3"/>
      <c r="G740" s="3"/>
      <c r="H740" s="3"/>
    </row>
    <row r="741" spans="4:8" ht="13" x14ac:dyDescent="0.15">
      <c r="D741" s="26"/>
      <c r="E741" s="26"/>
      <c r="F741" s="3"/>
      <c r="G741" s="3"/>
      <c r="H741" s="3"/>
    </row>
    <row r="742" spans="4:8" ht="13" x14ac:dyDescent="0.15">
      <c r="D742" s="26"/>
      <c r="E742" s="26"/>
      <c r="F742" s="3"/>
      <c r="G742" s="3"/>
      <c r="H742" s="3"/>
    </row>
    <row r="743" spans="4:8" ht="13" x14ac:dyDescent="0.15">
      <c r="D743" s="26"/>
      <c r="E743" s="26"/>
      <c r="F743" s="3"/>
      <c r="G743" s="3"/>
      <c r="H743" s="3"/>
    </row>
    <row r="744" spans="4:8" ht="13" x14ac:dyDescent="0.15">
      <c r="D744" s="26"/>
      <c r="E744" s="26"/>
      <c r="F744" s="3"/>
      <c r="G744" s="3"/>
      <c r="H744" s="3"/>
    </row>
    <row r="745" spans="4:8" ht="13" x14ac:dyDescent="0.15">
      <c r="D745" s="26"/>
      <c r="E745" s="26"/>
      <c r="F745" s="3"/>
      <c r="G745" s="3"/>
      <c r="H745" s="3"/>
    </row>
    <row r="746" spans="4:8" ht="13" x14ac:dyDescent="0.15">
      <c r="D746" s="26"/>
      <c r="E746" s="26"/>
      <c r="F746" s="3"/>
      <c r="G746" s="3"/>
      <c r="H746" s="3"/>
    </row>
    <row r="747" spans="4:8" ht="13" x14ac:dyDescent="0.15">
      <c r="D747" s="26"/>
      <c r="E747" s="26"/>
      <c r="F747" s="3"/>
      <c r="G747" s="3"/>
      <c r="H747" s="3"/>
    </row>
    <row r="748" spans="4:8" ht="13" x14ac:dyDescent="0.15">
      <c r="D748" s="26"/>
      <c r="E748" s="26"/>
      <c r="F748" s="3"/>
      <c r="G748" s="3"/>
      <c r="H748" s="3"/>
    </row>
    <row r="749" spans="4:8" ht="13" x14ac:dyDescent="0.15">
      <c r="D749" s="26"/>
      <c r="E749" s="26"/>
      <c r="F749" s="3"/>
      <c r="G749" s="3"/>
      <c r="H749" s="3"/>
    </row>
    <row r="750" spans="4:8" ht="13" x14ac:dyDescent="0.15">
      <c r="D750" s="26"/>
      <c r="E750" s="26"/>
      <c r="F750" s="3"/>
      <c r="G750" s="3"/>
      <c r="H750" s="3"/>
    </row>
    <row r="751" spans="4:8" ht="13" x14ac:dyDescent="0.15">
      <c r="D751" s="26"/>
      <c r="E751" s="26"/>
      <c r="F751" s="3"/>
      <c r="G751" s="3"/>
      <c r="H751" s="3"/>
    </row>
    <row r="752" spans="4:8" ht="13" x14ac:dyDescent="0.15">
      <c r="D752" s="26"/>
      <c r="E752" s="26"/>
      <c r="F752" s="3"/>
      <c r="G752" s="3"/>
      <c r="H752" s="3"/>
    </row>
    <row r="753" spans="4:8" ht="13" x14ac:dyDescent="0.15">
      <c r="D753" s="26"/>
      <c r="E753" s="26"/>
      <c r="F753" s="3"/>
      <c r="G753" s="3"/>
      <c r="H753" s="3"/>
    </row>
    <row r="754" spans="4:8" ht="13" x14ac:dyDescent="0.15">
      <c r="D754" s="26"/>
      <c r="E754" s="26"/>
      <c r="F754" s="3"/>
      <c r="G754" s="3"/>
      <c r="H754" s="3"/>
    </row>
    <row r="755" spans="4:8" ht="13" x14ac:dyDescent="0.15">
      <c r="D755" s="26"/>
      <c r="E755" s="26"/>
      <c r="F755" s="3"/>
      <c r="G755" s="3"/>
      <c r="H755" s="3"/>
    </row>
    <row r="756" spans="4:8" ht="13" x14ac:dyDescent="0.15">
      <c r="D756" s="26"/>
      <c r="E756" s="26"/>
      <c r="F756" s="3"/>
      <c r="G756" s="3"/>
      <c r="H756" s="3"/>
    </row>
    <row r="757" spans="4:8" ht="13" x14ac:dyDescent="0.15">
      <c r="D757" s="26"/>
      <c r="E757" s="26"/>
      <c r="F757" s="3"/>
      <c r="G757" s="3"/>
      <c r="H757" s="3"/>
    </row>
    <row r="758" spans="4:8" ht="13" x14ac:dyDescent="0.15">
      <c r="D758" s="26"/>
      <c r="E758" s="26"/>
      <c r="F758" s="3"/>
      <c r="G758" s="3"/>
      <c r="H758" s="3"/>
    </row>
    <row r="759" spans="4:8" ht="13" x14ac:dyDescent="0.15">
      <c r="D759" s="26"/>
      <c r="E759" s="26"/>
      <c r="F759" s="3"/>
      <c r="G759" s="3"/>
      <c r="H759" s="3"/>
    </row>
    <row r="760" spans="4:8" ht="13" x14ac:dyDescent="0.15">
      <c r="D760" s="26"/>
      <c r="E760" s="26"/>
      <c r="F760" s="3"/>
      <c r="G760" s="3"/>
      <c r="H760" s="3"/>
    </row>
    <row r="761" spans="4:8" ht="13" x14ac:dyDescent="0.15">
      <c r="D761" s="26"/>
      <c r="E761" s="26"/>
      <c r="F761" s="3"/>
      <c r="G761" s="3"/>
      <c r="H761" s="3"/>
    </row>
    <row r="762" spans="4:8" ht="13" x14ac:dyDescent="0.15">
      <c r="D762" s="26"/>
      <c r="E762" s="26"/>
      <c r="F762" s="3"/>
      <c r="G762" s="3"/>
      <c r="H762" s="3"/>
    </row>
    <row r="763" spans="4:8" ht="13" x14ac:dyDescent="0.15">
      <c r="D763" s="26"/>
      <c r="E763" s="26"/>
      <c r="F763" s="3"/>
      <c r="G763" s="3"/>
      <c r="H763" s="3"/>
    </row>
    <row r="764" spans="4:8" ht="13" x14ac:dyDescent="0.15">
      <c r="D764" s="26"/>
      <c r="E764" s="26"/>
      <c r="F764" s="3"/>
      <c r="G764" s="3"/>
      <c r="H764" s="3"/>
    </row>
    <row r="765" spans="4:8" ht="13" x14ac:dyDescent="0.15">
      <c r="D765" s="26"/>
      <c r="E765" s="26"/>
      <c r="F765" s="3"/>
      <c r="G765" s="3"/>
      <c r="H765" s="3"/>
    </row>
    <row r="766" spans="4:8" ht="13" x14ac:dyDescent="0.15">
      <c r="D766" s="26"/>
      <c r="E766" s="26"/>
      <c r="F766" s="3"/>
      <c r="G766" s="3"/>
      <c r="H766" s="3"/>
    </row>
    <row r="767" spans="4:8" ht="13" x14ac:dyDescent="0.15">
      <c r="D767" s="26"/>
      <c r="E767" s="26"/>
      <c r="F767" s="3"/>
      <c r="G767" s="3"/>
      <c r="H767" s="3"/>
    </row>
    <row r="768" spans="4:8" ht="13" x14ac:dyDescent="0.15">
      <c r="D768" s="26"/>
      <c r="E768" s="26"/>
      <c r="F768" s="3"/>
      <c r="G768" s="3"/>
      <c r="H768" s="3"/>
    </row>
    <row r="769" spans="4:8" ht="13" x14ac:dyDescent="0.15">
      <c r="D769" s="26"/>
      <c r="E769" s="26"/>
      <c r="F769" s="3"/>
      <c r="G769" s="3"/>
      <c r="H769" s="3"/>
    </row>
    <row r="770" spans="4:8" ht="13" x14ac:dyDescent="0.15">
      <c r="D770" s="26"/>
      <c r="E770" s="26"/>
      <c r="F770" s="3"/>
      <c r="G770" s="3"/>
      <c r="H770" s="3"/>
    </row>
    <row r="771" spans="4:8" ht="13" x14ac:dyDescent="0.15">
      <c r="D771" s="26"/>
      <c r="E771" s="26"/>
      <c r="F771" s="3"/>
      <c r="G771" s="3"/>
      <c r="H771" s="3"/>
    </row>
    <row r="772" spans="4:8" ht="13" x14ac:dyDescent="0.15">
      <c r="D772" s="26"/>
      <c r="E772" s="26"/>
      <c r="F772" s="3"/>
      <c r="G772" s="3"/>
      <c r="H772" s="3"/>
    </row>
    <row r="773" spans="4:8" ht="13" x14ac:dyDescent="0.15">
      <c r="D773" s="26"/>
      <c r="E773" s="26"/>
      <c r="F773" s="3"/>
      <c r="G773" s="3"/>
      <c r="H773" s="3"/>
    </row>
    <row r="774" spans="4:8" ht="13" x14ac:dyDescent="0.15">
      <c r="D774" s="26"/>
      <c r="E774" s="26"/>
      <c r="F774" s="3"/>
      <c r="G774" s="3"/>
      <c r="H774" s="3"/>
    </row>
    <row r="775" spans="4:8" ht="13" x14ac:dyDescent="0.15">
      <c r="D775" s="26"/>
      <c r="E775" s="26"/>
      <c r="F775" s="3"/>
      <c r="G775" s="3"/>
      <c r="H775" s="3"/>
    </row>
    <row r="776" spans="4:8" ht="13" x14ac:dyDescent="0.15">
      <c r="D776" s="26"/>
      <c r="E776" s="26"/>
      <c r="F776" s="3"/>
      <c r="G776" s="3"/>
      <c r="H776" s="3"/>
    </row>
    <row r="777" spans="4:8" ht="13" x14ac:dyDescent="0.15">
      <c r="D777" s="26"/>
      <c r="E777" s="26"/>
      <c r="F777" s="3"/>
      <c r="G777" s="3"/>
      <c r="H777" s="3"/>
    </row>
    <row r="778" spans="4:8" ht="13" x14ac:dyDescent="0.15">
      <c r="D778" s="26"/>
      <c r="E778" s="26"/>
      <c r="F778" s="3"/>
      <c r="G778" s="3"/>
      <c r="H778" s="3"/>
    </row>
    <row r="779" spans="4:8" ht="13" x14ac:dyDescent="0.15">
      <c r="D779" s="26"/>
      <c r="E779" s="26"/>
      <c r="F779" s="3"/>
      <c r="G779" s="3"/>
      <c r="H779" s="3"/>
    </row>
    <row r="780" spans="4:8" ht="13" x14ac:dyDescent="0.15">
      <c r="D780" s="26"/>
      <c r="E780" s="26"/>
      <c r="F780" s="3"/>
      <c r="G780" s="3"/>
      <c r="H780" s="3"/>
    </row>
    <row r="781" spans="4:8" ht="13" x14ac:dyDescent="0.15">
      <c r="D781" s="26"/>
      <c r="E781" s="26"/>
      <c r="F781" s="3"/>
      <c r="G781" s="3"/>
      <c r="H781" s="3"/>
    </row>
    <row r="782" spans="4:8" ht="13" x14ac:dyDescent="0.15">
      <c r="D782" s="26"/>
      <c r="E782" s="26"/>
      <c r="F782" s="3"/>
      <c r="G782" s="3"/>
      <c r="H782" s="3"/>
    </row>
    <row r="783" spans="4:8" ht="13" x14ac:dyDescent="0.15">
      <c r="D783" s="26"/>
      <c r="E783" s="26"/>
      <c r="F783" s="3"/>
      <c r="G783" s="3"/>
      <c r="H783" s="3"/>
    </row>
    <row r="784" spans="4:8" ht="13" x14ac:dyDescent="0.15">
      <c r="D784" s="26"/>
      <c r="E784" s="26"/>
      <c r="F784" s="3"/>
      <c r="G784" s="3"/>
      <c r="H784" s="3"/>
    </row>
    <row r="785" spans="4:8" ht="13" x14ac:dyDescent="0.15">
      <c r="D785" s="26"/>
      <c r="E785" s="26"/>
      <c r="F785" s="3"/>
      <c r="G785" s="3"/>
      <c r="H785" s="3"/>
    </row>
    <row r="786" spans="4:8" ht="13" x14ac:dyDescent="0.15">
      <c r="D786" s="26"/>
      <c r="E786" s="26"/>
      <c r="F786" s="3"/>
      <c r="G786" s="3"/>
      <c r="H786" s="3"/>
    </row>
    <row r="787" spans="4:8" ht="13" x14ac:dyDescent="0.15">
      <c r="D787" s="26"/>
      <c r="E787" s="26"/>
      <c r="F787" s="3"/>
      <c r="G787" s="3"/>
      <c r="H787" s="3"/>
    </row>
    <row r="788" spans="4:8" ht="13" x14ac:dyDescent="0.15">
      <c r="D788" s="26"/>
      <c r="E788" s="26"/>
      <c r="F788" s="3"/>
      <c r="G788" s="3"/>
      <c r="H788" s="3"/>
    </row>
    <row r="789" spans="4:8" ht="13" x14ac:dyDescent="0.15">
      <c r="D789" s="26"/>
      <c r="E789" s="26"/>
      <c r="F789" s="3"/>
      <c r="G789" s="3"/>
      <c r="H789" s="3"/>
    </row>
    <row r="790" spans="4:8" ht="13" x14ac:dyDescent="0.15">
      <c r="D790" s="26"/>
      <c r="E790" s="26"/>
      <c r="F790" s="3"/>
      <c r="G790" s="3"/>
      <c r="H790" s="3"/>
    </row>
    <row r="791" spans="4:8" ht="13" x14ac:dyDescent="0.15">
      <c r="D791" s="26"/>
      <c r="E791" s="26"/>
      <c r="F791" s="3"/>
      <c r="G791" s="3"/>
      <c r="H791" s="3"/>
    </row>
    <row r="792" spans="4:8" ht="13" x14ac:dyDescent="0.15">
      <c r="D792" s="26"/>
      <c r="E792" s="26"/>
      <c r="F792" s="3"/>
      <c r="G792" s="3"/>
      <c r="H792" s="3"/>
    </row>
    <row r="793" spans="4:8" ht="13" x14ac:dyDescent="0.15">
      <c r="D793" s="26"/>
      <c r="E793" s="26"/>
      <c r="F793" s="3"/>
      <c r="G793" s="3"/>
      <c r="H793" s="3"/>
    </row>
    <row r="794" spans="4:8" ht="13" x14ac:dyDescent="0.15">
      <c r="D794" s="26"/>
      <c r="E794" s="26"/>
      <c r="F794" s="3"/>
      <c r="G794" s="3"/>
      <c r="H794" s="3"/>
    </row>
    <row r="795" spans="4:8" ht="13" x14ac:dyDescent="0.15">
      <c r="D795" s="26"/>
      <c r="E795" s="26"/>
      <c r="F795" s="3"/>
      <c r="G795" s="3"/>
      <c r="H795" s="3"/>
    </row>
    <row r="796" spans="4:8" ht="13" x14ac:dyDescent="0.15">
      <c r="D796" s="26"/>
      <c r="E796" s="26"/>
      <c r="F796" s="3"/>
      <c r="G796" s="3"/>
      <c r="H796" s="3"/>
    </row>
    <row r="797" spans="4:8" ht="13" x14ac:dyDescent="0.15">
      <c r="D797" s="26"/>
      <c r="E797" s="26"/>
      <c r="F797" s="3"/>
      <c r="G797" s="3"/>
      <c r="H797" s="3"/>
    </row>
    <row r="798" spans="4:8" ht="13" x14ac:dyDescent="0.15">
      <c r="D798" s="26"/>
      <c r="E798" s="26"/>
      <c r="F798" s="3"/>
      <c r="G798" s="3"/>
      <c r="H798" s="3"/>
    </row>
    <row r="799" spans="4:8" ht="13" x14ac:dyDescent="0.15">
      <c r="D799" s="26"/>
      <c r="E799" s="26"/>
      <c r="F799" s="3"/>
      <c r="G799" s="3"/>
      <c r="H799" s="3"/>
    </row>
    <row r="800" spans="4:8" ht="13" x14ac:dyDescent="0.15">
      <c r="D800" s="26"/>
      <c r="E800" s="26"/>
      <c r="F800" s="3"/>
      <c r="G800" s="3"/>
      <c r="H800" s="3"/>
    </row>
    <row r="801" spans="4:8" ht="13" x14ac:dyDescent="0.15">
      <c r="D801" s="26"/>
      <c r="E801" s="26"/>
      <c r="F801" s="3"/>
      <c r="G801" s="3"/>
      <c r="H801" s="3"/>
    </row>
    <row r="802" spans="4:8" ht="13" x14ac:dyDescent="0.15">
      <c r="D802" s="26"/>
      <c r="E802" s="26"/>
      <c r="F802" s="3"/>
      <c r="G802" s="3"/>
      <c r="H802" s="3"/>
    </row>
    <row r="803" spans="4:8" ht="13" x14ac:dyDescent="0.15">
      <c r="D803" s="26"/>
      <c r="E803" s="26"/>
      <c r="F803" s="3"/>
      <c r="G803" s="3"/>
      <c r="H803" s="3"/>
    </row>
    <row r="804" spans="4:8" ht="13" x14ac:dyDescent="0.15">
      <c r="D804" s="26"/>
      <c r="E804" s="26"/>
      <c r="F804" s="3"/>
      <c r="G804" s="3"/>
      <c r="H804" s="3"/>
    </row>
    <row r="805" spans="4:8" ht="13" x14ac:dyDescent="0.15">
      <c r="D805" s="26"/>
      <c r="E805" s="26"/>
      <c r="F805" s="3"/>
      <c r="G805" s="3"/>
      <c r="H805" s="3"/>
    </row>
    <row r="806" spans="4:8" ht="13" x14ac:dyDescent="0.15">
      <c r="D806" s="26"/>
      <c r="E806" s="26"/>
      <c r="F806" s="3"/>
      <c r="G806" s="3"/>
      <c r="H806" s="3"/>
    </row>
    <row r="807" spans="4:8" ht="13" x14ac:dyDescent="0.15">
      <c r="D807" s="26"/>
      <c r="E807" s="26"/>
      <c r="F807" s="3"/>
      <c r="G807" s="3"/>
      <c r="H807" s="3"/>
    </row>
    <row r="808" spans="4:8" ht="13" x14ac:dyDescent="0.15">
      <c r="D808" s="26"/>
      <c r="E808" s="26"/>
      <c r="F808" s="3"/>
      <c r="G808" s="3"/>
      <c r="H808" s="3"/>
    </row>
    <row r="809" spans="4:8" ht="13" x14ac:dyDescent="0.15">
      <c r="D809" s="26"/>
      <c r="E809" s="26"/>
      <c r="F809" s="3"/>
      <c r="G809" s="3"/>
      <c r="H809" s="3"/>
    </row>
    <row r="810" spans="4:8" ht="13" x14ac:dyDescent="0.15">
      <c r="D810" s="26"/>
      <c r="E810" s="26"/>
      <c r="F810" s="3"/>
      <c r="G810" s="3"/>
      <c r="H810" s="3"/>
    </row>
    <row r="811" spans="4:8" ht="13" x14ac:dyDescent="0.15">
      <c r="D811" s="26"/>
      <c r="E811" s="26"/>
      <c r="F811" s="3"/>
      <c r="G811" s="3"/>
      <c r="H811" s="3"/>
    </row>
    <row r="812" spans="4:8" ht="13" x14ac:dyDescent="0.15">
      <c r="D812" s="26"/>
      <c r="E812" s="26"/>
      <c r="F812" s="3"/>
      <c r="G812" s="3"/>
      <c r="H812" s="3"/>
    </row>
    <row r="813" spans="4:8" ht="13" x14ac:dyDescent="0.15">
      <c r="D813" s="26"/>
      <c r="E813" s="26"/>
      <c r="F813" s="3"/>
      <c r="G813" s="3"/>
      <c r="H813" s="3"/>
    </row>
    <row r="814" spans="4:8" ht="13" x14ac:dyDescent="0.15">
      <c r="D814" s="26"/>
      <c r="E814" s="26"/>
      <c r="F814" s="3"/>
      <c r="G814" s="3"/>
      <c r="H814" s="3"/>
    </row>
    <row r="815" spans="4:8" ht="13" x14ac:dyDescent="0.15">
      <c r="D815" s="26"/>
      <c r="E815" s="26"/>
      <c r="F815" s="3"/>
      <c r="G815" s="3"/>
      <c r="H815" s="3"/>
    </row>
    <row r="816" spans="4:8" ht="13" x14ac:dyDescent="0.15">
      <c r="D816" s="26"/>
      <c r="E816" s="26"/>
      <c r="F816" s="3"/>
      <c r="G816" s="3"/>
      <c r="H816" s="3"/>
    </row>
    <row r="817" spans="4:8" ht="13" x14ac:dyDescent="0.15">
      <c r="D817" s="26"/>
      <c r="E817" s="26"/>
      <c r="F817" s="3"/>
      <c r="G817" s="3"/>
      <c r="H817" s="3"/>
    </row>
    <row r="818" spans="4:8" ht="13" x14ac:dyDescent="0.15">
      <c r="D818" s="26"/>
      <c r="E818" s="26"/>
      <c r="F818" s="3"/>
      <c r="G818" s="3"/>
      <c r="H818" s="3"/>
    </row>
    <row r="819" spans="4:8" ht="13" x14ac:dyDescent="0.15">
      <c r="D819" s="26"/>
      <c r="E819" s="26"/>
      <c r="F819" s="3"/>
      <c r="G819" s="3"/>
      <c r="H819" s="3"/>
    </row>
    <row r="820" spans="4:8" ht="13" x14ac:dyDescent="0.15">
      <c r="D820" s="26"/>
      <c r="E820" s="26"/>
      <c r="F820" s="3"/>
      <c r="G820" s="3"/>
      <c r="H820" s="3"/>
    </row>
    <row r="821" spans="4:8" ht="13" x14ac:dyDescent="0.15">
      <c r="D821" s="26"/>
      <c r="E821" s="26"/>
      <c r="F821" s="3"/>
      <c r="G821" s="3"/>
      <c r="H821" s="3"/>
    </row>
    <row r="822" spans="4:8" ht="13" x14ac:dyDescent="0.15">
      <c r="D822" s="26"/>
      <c r="E822" s="26"/>
      <c r="F822" s="3"/>
      <c r="G822" s="3"/>
      <c r="H822" s="3"/>
    </row>
    <row r="823" spans="4:8" ht="13" x14ac:dyDescent="0.15">
      <c r="D823" s="26"/>
      <c r="E823" s="26"/>
      <c r="F823" s="3"/>
      <c r="G823" s="3"/>
      <c r="H823" s="3"/>
    </row>
    <row r="824" spans="4:8" ht="13" x14ac:dyDescent="0.15">
      <c r="D824" s="26"/>
      <c r="E824" s="26"/>
      <c r="F824" s="3"/>
      <c r="G824" s="3"/>
      <c r="H824" s="3"/>
    </row>
    <row r="825" spans="4:8" ht="13" x14ac:dyDescent="0.15">
      <c r="D825" s="26"/>
      <c r="E825" s="26"/>
      <c r="F825" s="3"/>
      <c r="G825" s="3"/>
      <c r="H825" s="3"/>
    </row>
    <row r="826" spans="4:8" ht="13" x14ac:dyDescent="0.15">
      <c r="D826" s="26"/>
      <c r="E826" s="26"/>
      <c r="F826" s="3"/>
      <c r="G826" s="3"/>
      <c r="H826" s="3"/>
    </row>
    <row r="827" spans="4:8" ht="13" x14ac:dyDescent="0.15">
      <c r="D827" s="26"/>
      <c r="E827" s="26"/>
      <c r="F827" s="3"/>
      <c r="G827" s="3"/>
      <c r="H827" s="3"/>
    </row>
    <row r="828" spans="4:8" ht="13" x14ac:dyDescent="0.15">
      <c r="D828" s="26"/>
      <c r="E828" s="26"/>
      <c r="F828" s="3"/>
      <c r="G828" s="3"/>
      <c r="H828" s="3"/>
    </row>
    <row r="829" spans="4:8" ht="13" x14ac:dyDescent="0.15">
      <c r="D829" s="26"/>
      <c r="E829" s="26"/>
      <c r="F829" s="3"/>
      <c r="G829" s="3"/>
      <c r="H829" s="3"/>
    </row>
    <row r="830" spans="4:8" ht="13" x14ac:dyDescent="0.15">
      <c r="D830" s="26"/>
      <c r="E830" s="26"/>
      <c r="F830" s="3"/>
      <c r="G830" s="3"/>
      <c r="H830" s="3"/>
    </row>
    <row r="831" spans="4:8" ht="13" x14ac:dyDescent="0.15">
      <c r="D831" s="26"/>
      <c r="E831" s="26"/>
      <c r="F831" s="3"/>
      <c r="G831" s="3"/>
      <c r="H831" s="3"/>
    </row>
    <row r="832" spans="4:8" ht="13" x14ac:dyDescent="0.15">
      <c r="D832" s="26"/>
      <c r="E832" s="26"/>
      <c r="F832" s="3"/>
      <c r="G832" s="3"/>
      <c r="H832" s="3"/>
    </row>
    <row r="833" spans="4:8" ht="13" x14ac:dyDescent="0.15">
      <c r="D833" s="26"/>
      <c r="E833" s="26"/>
      <c r="F833" s="3"/>
      <c r="G833" s="3"/>
      <c r="H833" s="3"/>
    </row>
    <row r="834" spans="4:8" ht="13" x14ac:dyDescent="0.15">
      <c r="D834" s="26"/>
      <c r="E834" s="26"/>
      <c r="F834" s="3"/>
      <c r="G834" s="3"/>
      <c r="H834" s="3"/>
    </row>
    <row r="835" spans="4:8" ht="13" x14ac:dyDescent="0.15">
      <c r="D835" s="26"/>
      <c r="E835" s="26"/>
      <c r="F835" s="3"/>
      <c r="G835" s="3"/>
      <c r="H835" s="3"/>
    </row>
    <row r="836" spans="4:8" ht="13" x14ac:dyDescent="0.15">
      <c r="D836" s="26"/>
      <c r="E836" s="26"/>
      <c r="F836" s="3"/>
      <c r="G836" s="3"/>
      <c r="H836" s="3"/>
    </row>
    <row r="837" spans="4:8" ht="13" x14ac:dyDescent="0.15">
      <c r="D837" s="26"/>
      <c r="E837" s="26"/>
      <c r="F837" s="3"/>
      <c r="G837" s="3"/>
      <c r="H837" s="3"/>
    </row>
    <row r="838" spans="4:8" ht="13" x14ac:dyDescent="0.15">
      <c r="D838" s="26"/>
      <c r="E838" s="26"/>
      <c r="F838" s="3"/>
      <c r="G838" s="3"/>
      <c r="H838" s="3"/>
    </row>
    <row r="839" spans="4:8" ht="13" x14ac:dyDescent="0.15">
      <c r="D839" s="26"/>
      <c r="E839" s="26"/>
      <c r="F839" s="3"/>
      <c r="G839" s="3"/>
      <c r="H839" s="3"/>
    </row>
    <row r="840" spans="4:8" ht="13" x14ac:dyDescent="0.15">
      <c r="D840" s="26"/>
      <c r="E840" s="26"/>
      <c r="F840" s="3"/>
      <c r="G840" s="3"/>
      <c r="H840" s="3"/>
    </row>
    <row r="841" spans="4:8" ht="13" x14ac:dyDescent="0.15">
      <c r="D841" s="26"/>
      <c r="E841" s="26"/>
      <c r="F841" s="3"/>
      <c r="G841" s="3"/>
      <c r="H841" s="3"/>
    </row>
    <row r="842" spans="4:8" ht="13" x14ac:dyDescent="0.15">
      <c r="D842" s="26"/>
      <c r="E842" s="26"/>
      <c r="F842" s="3"/>
      <c r="G842" s="3"/>
      <c r="H842" s="3"/>
    </row>
    <row r="843" spans="4:8" ht="13" x14ac:dyDescent="0.15">
      <c r="D843" s="26"/>
      <c r="E843" s="26"/>
      <c r="F843" s="3"/>
      <c r="G843" s="3"/>
      <c r="H843" s="3"/>
    </row>
    <row r="844" spans="4:8" ht="13" x14ac:dyDescent="0.15">
      <c r="D844" s="26"/>
      <c r="E844" s="26"/>
      <c r="F844" s="3"/>
      <c r="G844" s="3"/>
      <c r="H844" s="3"/>
    </row>
    <row r="845" spans="4:8" ht="13" x14ac:dyDescent="0.15">
      <c r="D845" s="26"/>
      <c r="E845" s="26"/>
      <c r="F845" s="3"/>
      <c r="G845" s="3"/>
      <c r="H845" s="3"/>
    </row>
    <row r="846" spans="4:8" ht="13" x14ac:dyDescent="0.15">
      <c r="D846" s="26"/>
      <c r="E846" s="26"/>
      <c r="F846" s="3"/>
      <c r="G846" s="3"/>
      <c r="H846" s="3"/>
    </row>
    <row r="847" spans="4:8" ht="13" x14ac:dyDescent="0.15">
      <c r="D847" s="26"/>
      <c r="E847" s="26"/>
      <c r="F847" s="3"/>
      <c r="G847" s="3"/>
      <c r="H847" s="3"/>
    </row>
    <row r="848" spans="4:8" ht="13" x14ac:dyDescent="0.15">
      <c r="D848" s="26"/>
      <c r="E848" s="26"/>
      <c r="F848" s="3"/>
      <c r="G848" s="3"/>
      <c r="H848" s="3"/>
    </row>
    <row r="849" spans="4:8" ht="13" x14ac:dyDescent="0.15">
      <c r="D849" s="26"/>
      <c r="E849" s="26"/>
      <c r="F849" s="3"/>
      <c r="G849" s="3"/>
      <c r="H849" s="3"/>
    </row>
    <row r="850" spans="4:8" ht="13" x14ac:dyDescent="0.15">
      <c r="D850" s="26"/>
      <c r="E850" s="26"/>
      <c r="F850" s="3"/>
      <c r="G850" s="3"/>
      <c r="H850" s="3"/>
    </row>
    <row r="851" spans="4:8" ht="13" x14ac:dyDescent="0.15">
      <c r="D851" s="26"/>
      <c r="E851" s="26"/>
      <c r="F851" s="3"/>
      <c r="G851" s="3"/>
      <c r="H851" s="3"/>
    </row>
    <row r="852" spans="4:8" ht="13" x14ac:dyDescent="0.15">
      <c r="D852" s="26"/>
      <c r="E852" s="26"/>
      <c r="F852" s="3"/>
      <c r="G852" s="3"/>
      <c r="H852" s="3"/>
    </row>
    <row r="853" spans="4:8" ht="13" x14ac:dyDescent="0.15">
      <c r="D853" s="26"/>
      <c r="E853" s="26"/>
      <c r="F853" s="3"/>
      <c r="G853" s="3"/>
      <c r="H853" s="3"/>
    </row>
    <row r="854" spans="4:8" ht="13" x14ac:dyDescent="0.15">
      <c r="D854" s="26"/>
      <c r="E854" s="26"/>
      <c r="F854" s="3"/>
      <c r="G854" s="3"/>
      <c r="H854" s="3"/>
    </row>
    <row r="855" spans="4:8" ht="13" x14ac:dyDescent="0.15">
      <c r="D855" s="26"/>
      <c r="E855" s="26"/>
      <c r="F855" s="3"/>
      <c r="G855" s="3"/>
      <c r="H855" s="3"/>
    </row>
    <row r="856" spans="4:8" ht="13" x14ac:dyDescent="0.15">
      <c r="D856" s="26"/>
      <c r="E856" s="26"/>
      <c r="F856" s="3"/>
      <c r="G856" s="3"/>
      <c r="H856" s="3"/>
    </row>
    <row r="857" spans="4:8" ht="13" x14ac:dyDescent="0.15">
      <c r="D857" s="26"/>
      <c r="E857" s="26"/>
      <c r="F857" s="3"/>
      <c r="G857" s="3"/>
      <c r="H857" s="3"/>
    </row>
    <row r="858" spans="4:8" ht="13" x14ac:dyDescent="0.15">
      <c r="D858" s="26"/>
      <c r="E858" s="26"/>
      <c r="F858" s="3"/>
      <c r="G858" s="3"/>
      <c r="H858" s="3"/>
    </row>
    <row r="859" spans="4:8" ht="13" x14ac:dyDescent="0.15">
      <c r="D859" s="26"/>
      <c r="E859" s="26"/>
      <c r="F859" s="3"/>
      <c r="G859" s="3"/>
      <c r="H859" s="3"/>
    </row>
    <row r="860" spans="4:8" ht="13" x14ac:dyDescent="0.15">
      <c r="D860" s="26"/>
      <c r="E860" s="26"/>
      <c r="F860" s="3"/>
      <c r="G860" s="3"/>
      <c r="H860" s="3"/>
    </row>
    <row r="861" spans="4:8" ht="13" x14ac:dyDescent="0.15">
      <c r="D861" s="26"/>
      <c r="E861" s="26"/>
      <c r="F861" s="3"/>
      <c r="G861" s="3"/>
      <c r="H861" s="3"/>
    </row>
    <row r="862" spans="4:8" ht="13" x14ac:dyDescent="0.15">
      <c r="D862" s="26"/>
      <c r="E862" s="26"/>
      <c r="F862" s="3"/>
      <c r="G862" s="3"/>
      <c r="H862" s="3"/>
    </row>
    <row r="863" spans="4:8" ht="13" x14ac:dyDescent="0.15">
      <c r="D863" s="26"/>
      <c r="E863" s="26"/>
      <c r="F863" s="3"/>
      <c r="G863" s="3"/>
      <c r="H863" s="3"/>
    </row>
    <row r="864" spans="4:8" ht="13" x14ac:dyDescent="0.15">
      <c r="D864" s="26"/>
      <c r="E864" s="26"/>
      <c r="F864" s="3"/>
      <c r="G864" s="3"/>
      <c r="H864" s="3"/>
    </row>
    <row r="865" spans="4:8" ht="13" x14ac:dyDescent="0.15">
      <c r="D865" s="26"/>
      <c r="E865" s="26"/>
      <c r="F865" s="3"/>
      <c r="G865" s="3"/>
      <c r="H865" s="3"/>
    </row>
    <row r="866" spans="4:8" ht="13" x14ac:dyDescent="0.15">
      <c r="D866" s="26"/>
      <c r="E866" s="26"/>
      <c r="F866" s="3"/>
      <c r="G866" s="3"/>
      <c r="H866" s="3"/>
    </row>
    <row r="867" spans="4:8" ht="13" x14ac:dyDescent="0.15">
      <c r="D867" s="26"/>
      <c r="E867" s="26"/>
      <c r="F867" s="3"/>
      <c r="G867" s="3"/>
      <c r="H867" s="3"/>
    </row>
    <row r="868" spans="4:8" ht="13" x14ac:dyDescent="0.15">
      <c r="D868" s="26"/>
      <c r="E868" s="26"/>
      <c r="F868" s="3"/>
      <c r="G868" s="3"/>
      <c r="H868" s="3"/>
    </row>
    <row r="869" spans="4:8" ht="13" x14ac:dyDescent="0.15">
      <c r="D869" s="26"/>
      <c r="E869" s="26"/>
      <c r="F869" s="3"/>
      <c r="G869" s="3"/>
      <c r="H869" s="3"/>
    </row>
    <row r="870" spans="4:8" ht="13" x14ac:dyDescent="0.15">
      <c r="D870" s="26"/>
      <c r="E870" s="26"/>
      <c r="F870" s="3"/>
      <c r="G870" s="3"/>
      <c r="H870" s="3"/>
    </row>
    <row r="871" spans="4:8" ht="13" x14ac:dyDescent="0.15">
      <c r="D871" s="26"/>
      <c r="E871" s="26"/>
      <c r="F871" s="3"/>
      <c r="G871" s="3"/>
      <c r="H871" s="3"/>
    </row>
    <row r="872" spans="4:8" ht="13" x14ac:dyDescent="0.15">
      <c r="D872" s="26"/>
      <c r="E872" s="26"/>
      <c r="F872" s="3"/>
      <c r="G872" s="3"/>
      <c r="H872" s="3"/>
    </row>
    <row r="873" spans="4:8" ht="13" x14ac:dyDescent="0.15">
      <c r="D873" s="26"/>
      <c r="E873" s="26"/>
      <c r="F873" s="3"/>
      <c r="G873" s="3"/>
      <c r="H873" s="3"/>
    </row>
    <row r="874" spans="4:8" ht="13" x14ac:dyDescent="0.15">
      <c r="D874" s="26"/>
      <c r="E874" s="26"/>
      <c r="F874" s="3"/>
      <c r="G874" s="3"/>
      <c r="H874" s="3"/>
    </row>
    <row r="875" spans="4:8" ht="13" x14ac:dyDescent="0.15">
      <c r="D875" s="26"/>
      <c r="E875" s="26"/>
      <c r="F875" s="3"/>
      <c r="G875" s="3"/>
      <c r="H875" s="3"/>
    </row>
    <row r="876" spans="4:8" ht="13" x14ac:dyDescent="0.15">
      <c r="D876" s="26"/>
      <c r="E876" s="26"/>
      <c r="F876" s="3"/>
      <c r="G876" s="3"/>
      <c r="H876" s="3"/>
    </row>
    <row r="877" spans="4:8" ht="13" x14ac:dyDescent="0.15">
      <c r="D877" s="26"/>
      <c r="E877" s="26"/>
      <c r="F877" s="3"/>
      <c r="G877" s="3"/>
      <c r="H877" s="3"/>
    </row>
    <row r="878" spans="4:8" ht="13" x14ac:dyDescent="0.15">
      <c r="D878" s="26"/>
      <c r="E878" s="26"/>
      <c r="F878" s="3"/>
      <c r="G878" s="3"/>
      <c r="H878" s="3"/>
    </row>
    <row r="879" spans="4:8" ht="13" x14ac:dyDescent="0.15">
      <c r="D879" s="26"/>
      <c r="E879" s="26"/>
      <c r="F879" s="3"/>
      <c r="G879" s="3"/>
      <c r="H879" s="3"/>
    </row>
    <row r="880" spans="4:8" ht="13" x14ac:dyDescent="0.15">
      <c r="D880" s="26"/>
      <c r="E880" s="26"/>
      <c r="F880" s="3"/>
      <c r="G880" s="3"/>
      <c r="H880" s="3"/>
    </row>
    <row r="881" spans="4:8" ht="13" x14ac:dyDescent="0.15">
      <c r="D881" s="26"/>
      <c r="E881" s="26"/>
      <c r="F881" s="3"/>
      <c r="G881" s="3"/>
      <c r="H881" s="3"/>
    </row>
    <row r="882" spans="4:8" ht="13" x14ac:dyDescent="0.15">
      <c r="D882" s="26"/>
      <c r="E882" s="26"/>
      <c r="F882" s="3"/>
      <c r="G882" s="3"/>
      <c r="H882" s="3"/>
    </row>
    <row r="883" spans="4:8" ht="13" x14ac:dyDescent="0.15">
      <c r="D883" s="26"/>
      <c r="E883" s="26"/>
      <c r="F883" s="3"/>
      <c r="G883" s="3"/>
      <c r="H883" s="3"/>
    </row>
    <row r="884" spans="4:8" ht="13" x14ac:dyDescent="0.15">
      <c r="D884" s="26"/>
      <c r="E884" s="26"/>
      <c r="F884" s="3"/>
      <c r="G884" s="3"/>
      <c r="H884" s="3"/>
    </row>
    <row r="885" spans="4:8" ht="13" x14ac:dyDescent="0.15">
      <c r="D885" s="26"/>
      <c r="E885" s="26"/>
      <c r="F885" s="3"/>
      <c r="G885" s="3"/>
      <c r="H885" s="3"/>
    </row>
    <row r="886" spans="4:8" ht="13" x14ac:dyDescent="0.15">
      <c r="D886" s="26"/>
      <c r="E886" s="26"/>
      <c r="F886" s="3"/>
      <c r="G886" s="3"/>
      <c r="H886" s="3"/>
    </row>
    <row r="887" spans="4:8" ht="13" x14ac:dyDescent="0.15">
      <c r="D887" s="26"/>
      <c r="E887" s="26"/>
      <c r="F887" s="3"/>
      <c r="G887" s="3"/>
      <c r="H887" s="3"/>
    </row>
    <row r="888" spans="4:8" ht="13" x14ac:dyDescent="0.15">
      <c r="D888" s="26"/>
      <c r="E888" s="26"/>
      <c r="F888" s="3"/>
      <c r="G888" s="3"/>
      <c r="H888" s="3"/>
    </row>
    <row r="889" spans="4:8" ht="13" x14ac:dyDescent="0.15">
      <c r="D889" s="26"/>
      <c r="E889" s="26"/>
      <c r="F889" s="3"/>
      <c r="G889" s="3"/>
      <c r="H889" s="3"/>
    </row>
    <row r="890" spans="4:8" ht="13" x14ac:dyDescent="0.15">
      <c r="D890" s="26"/>
      <c r="E890" s="26"/>
      <c r="F890" s="3"/>
      <c r="G890" s="3"/>
      <c r="H890" s="3"/>
    </row>
    <row r="891" spans="4:8" ht="13" x14ac:dyDescent="0.15">
      <c r="D891" s="26"/>
      <c r="E891" s="26"/>
      <c r="F891" s="3"/>
      <c r="G891" s="3"/>
      <c r="H891" s="3"/>
    </row>
    <row r="892" spans="4:8" ht="13" x14ac:dyDescent="0.15">
      <c r="D892" s="26"/>
      <c r="E892" s="26"/>
      <c r="F892" s="3"/>
      <c r="G892" s="3"/>
      <c r="H892" s="3"/>
    </row>
    <row r="893" spans="4:8" ht="13" x14ac:dyDescent="0.15">
      <c r="D893" s="26"/>
      <c r="E893" s="26"/>
      <c r="F893" s="3"/>
      <c r="G893" s="3"/>
      <c r="H893" s="3"/>
    </row>
    <row r="894" spans="4:8" ht="13" x14ac:dyDescent="0.15">
      <c r="D894" s="26"/>
      <c r="E894" s="26"/>
      <c r="F894" s="3"/>
      <c r="G894" s="3"/>
      <c r="H894" s="3"/>
    </row>
    <row r="895" spans="4:8" ht="13" x14ac:dyDescent="0.15">
      <c r="D895" s="26"/>
      <c r="E895" s="26"/>
      <c r="F895" s="3"/>
      <c r="G895" s="3"/>
      <c r="H895" s="3"/>
    </row>
    <row r="896" spans="4:8" ht="13" x14ac:dyDescent="0.15">
      <c r="D896" s="26"/>
      <c r="E896" s="26"/>
      <c r="F896" s="3"/>
      <c r="G896" s="3"/>
      <c r="H896" s="3"/>
    </row>
    <row r="897" spans="4:8" ht="13" x14ac:dyDescent="0.15">
      <c r="D897" s="26"/>
      <c r="E897" s="26"/>
      <c r="F897" s="3"/>
      <c r="G897" s="3"/>
      <c r="H897" s="3"/>
    </row>
    <row r="898" spans="4:8" ht="13" x14ac:dyDescent="0.15">
      <c r="D898" s="26"/>
      <c r="E898" s="26"/>
      <c r="F898" s="3"/>
      <c r="G898" s="3"/>
      <c r="H898" s="3"/>
    </row>
    <row r="899" spans="4:8" ht="13" x14ac:dyDescent="0.15">
      <c r="D899" s="26"/>
      <c r="E899" s="26"/>
      <c r="F899" s="3"/>
      <c r="G899" s="3"/>
      <c r="H899" s="3"/>
    </row>
    <row r="900" spans="4:8" ht="13" x14ac:dyDescent="0.15">
      <c r="D900" s="26"/>
      <c r="E900" s="26"/>
      <c r="F900" s="3"/>
      <c r="G900" s="3"/>
      <c r="H900" s="3"/>
    </row>
    <row r="901" spans="4:8" ht="13" x14ac:dyDescent="0.15">
      <c r="D901" s="26"/>
      <c r="E901" s="26"/>
      <c r="F901" s="3"/>
      <c r="G901" s="3"/>
      <c r="H901" s="3"/>
    </row>
    <row r="902" spans="4:8" ht="13" x14ac:dyDescent="0.15">
      <c r="D902" s="26"/>
      <c r="E902" s="26"/>
      <c r="F902" s="3"/>
      <c r="G902" s="3"/>
      <c r="H902" s="3"/>
    </row>
    <row r="903" spans="4:8" ht="13" x14ac:dyDescent="0.15">
      <c r="D903" s="26"/>
      <c r="E903" s="26"/>
      <c r="F903" s="3"/>
      <c r="G903" s="3"/>
      <c r="H903" s="3"/>
    </row>
    <row r="904" spans="4:8" ht="13" x14ac:dyDescent="0.15">
      <c r="D904" s="26"/>
      <c r="E904" s="26"/>
      <c r="F904" s="3"/>
      <c r="G904" s="3"/>
      <c r="H904" s="3"/>
    </row>
    <row r="905" spans="4:8" ht="13" x14ac:dyDescent="0.15">
      <c r="D905" s="26"/>
      <c r="E905" s="26"/>
      <c r="F905" s="3"/>
      <c r="G905" s="3"/>
      <c r="H905" s="3"/>
    </row>
    <row r="906" spans="4:8" ht="13" x14ac:dyDescent="0.15">
      <c r="D906" s="26"/>
      <c r="E906" s="26"/>
      <c r="F906" s="3"/>
      <c r="G906" s="3"/>
      <c r="H906" s="3"/>
    </row>
    <row r="907" spans="4:8" ht="13" x14ac:dyDescent="0.15">
      <c r="D907" s="26"/>
      <c r="E907" s="26"/>
      <c r="F907" s="3"/>
      <c r="G907" s="3"/>
      <c r="H907" s="3"/>
    </row>
    <row r="908" spans="4:8" ht="13" x14ac:dyDescent="0.15">
      <c r="D908" s="26"/>
      <c r="E908" s="26"/>
      <c r="F908" s="3"/>
      <c r="G908" s="3"/>
      <c r="H908" s="3"/>
    </row>
    <row r="909" spans="4:8" ht="13" x14ac:dyDescent="0.15">
      <c r="D909" s="26"/>
      <c r="E909" s="26"/>
      <c r="F909" s="3"/>
      <c r="G909" s="3"/>
      <c r="H909" s="3"/>
    </row>
    <row r="910" spans="4:8" ht="13" x14ac:dyDescent="0.15">
      <c r="D910" s="26"/>
      <c r="E910" s="26"/>
      <c r="F910" s="3"/>
      <c r="G910" s="3"/>
      <c r="H910" s="3"/>
    </row>
    <row r="911" spans="4:8" ht="13" x14ac:dyDescent="0.15">
      <c r="D911" s="26"/>
      <c r="E911" s="26"/>
      <c r="F911" s="3"/>
      <c r="G911" s="3"/>
      <c r="H911" s="3"/>
    </row>
    <row r="912" spans="4:8" ht="13" x14ac:dyDescent="0.15">
      <c r="D912" s="26"/>
      <c r="E912" s="26"/>
      <c r="F912" s="3"/>
      <c r="G912" s="3"/>
      <c r="H912" s="3"/>
    </row>
    <row r="913" spans="4:8" ht="13" x14ac:dyDescent="0.15">
      <c r="D913" s="26"/>
      <c r="E913" s="26"/>
      <c r="F913" s="3"/>
      <c r="G913" s="3"/>
      <c r="H913" s="3"/>
    </row>
    <row r="914" spans="4:8" ht="13" x14ac:dyDescent="0.15">
      <c r="D914" s="26"/>
      <c r="E914" s="26"/>
      <c r="F914" s="3"/>
      <c r="G914" s="3"/>
      <c r="H914" s="3"/>
    </row>
    <row r="915" spans="4:8" ht="13" x14ac:dyDescent="0.15">
      <c r="D915" s="26"/>
      <c r="E915" s="26"/>
      <c r="F915" s="3"/>
      <c r="G915" s="3"/>
      <c r="H915" s="3"/>
    </row>
    <row r="916" spans="4:8" ht="13" x14ac:dyDescent="0.15">
      <c r="D916" s="26"/>
      <c r="E916" s="26"/>
      <c r="F916" s="3"/>
      <c r="G916" s="3"/>
      <c r="H916" s="3"/>
    </row>
    <row r="917" spans="4:8" ht="13" x14ac:dyDescent="0.15">
      <c r="D917" s="26"/>
      <c r="E917" s="26"/>
      <c r="F917" s="3"/>
      <c r="G917" s="3"/>
      <c r="H917" s="3"/>
    </row>
    <row r="918" spans="4:8" ht="13" x14ac:dyDescent="0.15">
      <c r="D918" s="26"/>
      <c r="E918" s="26"/>
      <c r="F918" s="3"/>
      <c r="G918" s="3"/>
      <c r="H918" s="3"/>
    </row>
    <row r="919" spans="4:8" ht="13" x14ac:dyDescent="0.15">
      <c r="D919" s="26"/>
      <c r="E919" s="26"/>
      <c r="F919" s="3"/>
      <c r="G919" s="3"/>
      <c r="H919" s="3"/>
    </row>
    <row r="920" spans="4:8" ht="13" x14ac:dyDescent="0.15">
      <c r="D920" s="26"/>
      <c r="E920" s="26"/>
      <c r="F920" s="3"/>
      <c r="G920" s="3"/>
      <c r="H920" s="3"/>
    </row>
    <row r="921" spans="4:8" ht="13" x14ac:dyDescent="0.15">
      <c r="D921" s="26"/>
      <c r="E921" s="26"/>
      <c r="F921" s="3"/>
      <c r="G921" s="3"/>
      <c r="H921" s="3"/>
    </row>
    <row r="922" spans="4:8" ht="13" x14ac:dyDescent="0.15">
      <c r="D922" s="26"/>
      <c r="E922" s="26"/>
      <c r="F922" s="3"/>
      <c r="G922" s="3"/>
      <c r="H922" s="3"/>
    </row>
    <row r="923" spans="4:8" ht="13" x14ac:dyDescent="0.15">
      <c r="D923" s="26"/>
      <c r="E923" s="26"/>
      <c r="F923" s="3"/>
      <c r="G923" s="3"/>
      <c r="H923" s="3"/>
    </row>
    <row r="924" spans="4:8" ht="13" x14ac:dyDescent="0.15">
      <c r="D924" s="26"/>
      <c r="E924" s="26"/>
      <c r="F924" s="3"/>
      <c r="G924" s="3"/>
      <c r="H924" s="3"/>
    </row>
    <row r="925" spans="4:8" ht="13" x14ac:dyDescent="0.15">
      <c r="D925" s="26"/>
      <c r="E925" s="26"/>
      <c r="F925" s="3"/>
      <c r="G925" s="3"/>
      <c r="H925" s="3"/>
    </row>
    <row r="926" spans="4:8" ht="13" x14ac:dyDescent="0.15">
      <c r="D926" s="26"/>
      <c r="E926" s="26"/>
      <c r="F926" s="3"/>
      <c r="G926" s="3"/>
      <c r="H926" s="3"/>
    </row>
    <row r="927" spans="4:8" ht="13" x14ac:dyDescent="0.15">
      <c r="D927" s="26"/>
      <c r="E927" s="26"/>
      <c r="F927" s="3"/>
      <c r="G927" s="3"/>
      <c r="H927" s="3"/>
    </row>
    <row r="928" spans="4:8" ht="13" x14ac:dyDescent="0.15">
      <c r="D928" s="26"/>
      <c r="E928" s="26"/>
      <c r="F928" s="3"/>
      <c r="G928" s="3"/>
      <c r="H928" s="3"/>
    </row>
    <row r="929" spans="4:8" ht="13" x14ac:dyDescent="0.15">
      <c r="D929" s="26"/>
      <c r="E929" s="26"/>
      <c r="F929" s="3"/>
      <c r="G929" s="3"/>
      <c r="H929" s="3"/>
    </row>
    <row r="930" spans="4:8" ht="13" x14ac:dyDescent="0.15">
      <c r="D930" s="26"/>
      <c r="E930" s="26"/>
      <c r="F930" s="3"/>
      <c r="G930" s="3"/>
      <c r="H930" s="3"/>
    </row>
    <row r="931" spans="4:8" ht="13" x14ac:dyDescent="0.15">
      <c r="D931" s="26"/>
      <c r="E931" s="26"/>
      <c r="F931" s="3"/>
      <c r="G931" s="3"/>
      <c r="H931" s="3"/>
    </row>
    <row r="932" spans="4:8" ht="13" x14ac:dyDescent="0.15">
      <c r="D932" s="26"/>
      <c r="E932" s="26"/>
      <c r="F932" s="3"/>
      <c r="G932" s="3"/>
      <c r="H932" s="3"/>
    </row>
    <row r="933" spans="4:8" ht="13" x14ac:dyDescent="0.15">
      <c r="D933" s="26"/>
      <c r="E933" s="26"/>
      <c r="F933" s="3"/>
      <c r="G933" s="3"/>
      <c r="H933" s="3"/>
    </row>
    <row r="934" spans="4:8" ht="13" x14ac:dyDescent="0.15">
      <c r="D934" s="26"/>
      <c r="E934" s="26"/>
      <c r="F934" s="3"/>
      <c r="G934" s="3"/>
      <c r="H934" s="3"/>
    </row>
    <row r="935" spans="4:8" ht="13" x14ac:dyDescent="0.15">
      <c r="D935" s="26"/>
      <c r="E935" s="26"/>
      <c r="F935" s="3"/>
      <c r="G935" s="3"/>
      <c r="H935" s="3"/>
    </row>
    <row r="936" spans="4:8" ht="13" x14ac:dyDescent="0.15">
      <c r="D936" s="26"/>
      <c r="E936" s="26"/>
      <c r="F936" s="3"/>
      <c r="G936" s="3"/>
      <c r="H936" s="3"/>
    </row>
    <row r="937" spans="4:8" ht="13" x14ac:dyDescent="0.15">
      <c r="D937" s="26"/>
      <c r="E937" s="26"/>
      <c r="F937" s="3"/>
      <c r="G937" s="3"/>
      <c r="H937" s="3"/>
    </row>
    <row r="938" spans="4:8" ht="13" x14ac:dyDescent="0.15">
      <c r="D938" s="26"/>
      <c r="E938" s="26"/>
      <c r="F938" s="3"/>
      <c r="G938" s="3"/>
      <c r="H938" s="3"/>
    </row>
    <row r="939" spans="4:8" ht="13" x14ac:dyDescent="0.15">
      <c r="D939" s="26"/>
      <c r="E939" s="26"/>
      <c r="F939" s="3"/>
      <c r="G939" s="3"/>
      <c r="H939" s="3"/>
    </row>
    <row r="940" spans="4:8" ht="13" x14ac:dyDescent="0.15">
      <c r="D940" s="26"/>
      <c r="E940" s="26"/>
      <c r="F940" s="3"/>
      <c r="G940" s="3"/>
      <c r="H940" s="3"/>
    </row>
    <row r="941" spans="4:8" ht="13" x14ac:dyDescent="0.15">
      <c r="D941" s="26"/>
      <c r="E941" s="26"/>
      <c r="F941" s="3"/>
      <c r="G941" s="3"/>
      <c r="H941" s="3"/>
    </row>
    <row r="942" spans="4:8" ht="13" x14ac:dyDescent="0.15">
      <c r="D942" s="26"/>
      <c r="E942" s="26"/>
      <c r="F942" s="3"/>
      <c r="G942" s="3"/>
      <c r="H942" s="3"/>
    </row>
    <row r="943" spans="4:8" ht="13" x14ac:dyDescent="0.15">
      <c r="D943" s="26"/>
      <c r="E943" s="26"/>
      <c r="F943" s="3"/>
      <c r="G943" s="3"/>
      <c r="H943" s="3"/>
    </row>
    <row r="944" spans="4:8" ht="13" x14ac:dyDescent="0.15">
      <c r="D944" s="26"/>
      <c r="E944" s="26"/>
      <c r="F944" s="3"/>
      <c r="G944" s="3"/>
      <c r="H944" s="3"/>
    </row>
    <row r="945" spans="4:8" ht="13" x14ac:dyDescent="0.15">
      <c r="D945" s="26"/>
      <c r="E945" s="26"/>
      <c r="F945" s="3"/>
      <c r="G945" s="3"/>
      <c r="H945" s="3"/>
    </row>
    <row r="946" spans="4:8" ht="13" x14ac:dyDescent="0.15">
      <c r="D946" s="26"/>
      <c r="E946" s="26"/>
      <c r="F946" s="3"/>
      <c r="G946" s="3"/>
      <c r="H946" s="3"/>
    </row>
    <row r="947" spans="4:8" ht="13" x14ac:dyDescent="0.15">
      <c r="D947" s="26"/>
      <c r="E947" s="26"/>
      <c r="F947" s="3"/>
      <c r="G947" s="3"/>
      <c r="H947" s="3"/>
    </row>
    <row r="948" spans="4:8" ht="13" x14ac:dyDescent="0.15">
      <c r="D948" s="26"/>
      <c r="E948" s="26"/>
      <c r="F948" s="3"/>
      <c r="G948" s="3"/>
      <c r="H948" s="3"/>
    </row>
    <row r="949" spans="4:8" ht="13" x14ac:dyDescent="0.15">
      <c r="D949" s="26"/>
      <c r="E949" s="26"/>
      <c r="F949" s="3"/>
      <c r="G949" s="3"/>
      <c r="H949" s="3"/>
    </row>
    <row r="950" spans="4:8" ht="13" x14ac:dyDescent="0.15">
      <c r="D950" s="26"/>
      <c r="E950" s="26"/>
      <c r="F950" s="3"/>
      <c r="G950" s="3"/>
      <c r="H950" s="3"/>
    </row>
    <row r="951" spans="4:8" ht="13" x14ac:dyDescent="0.15">
      <c r="D951" s="26"/>
      <c r="E951" s="26"/>
      <c r="F951" s="3"/>
      <c r="G951" s="3"/>
      <c r="H951" s="3"/>
    </row>
    <row r="952" spans="4:8" ht="13" x14ac:dyDescent="0.15">
      <c r="D952" s="26"/>
      <c r="E952" s="26"/>
      <c r="F952" s="3"/>
      <c r="G952" s="3"/>
      <c r="H952" s="3"/>
    </row>
    <row r="953" spans="4:8" ht="13" x14ac:dyDescent="0.15">
      <c r="D953" s="26"/>
      <c r="E953" s="26"/>
      <c r="F953" s="3"/>
      <c r="G953" s="3"/>
      <c r="H953" s="3"/>
    </row>
    <row r="954" spans="4:8" ht="13" x14ac:dyDescent="0.15">
      <c r="D954" s="26"/>
      <c r="E954" s="26"/>
      <c r="F954" s="3"/>
      <c r="G954" s="3"/>
      <c r="H954" s="3"/>
    </row>
    <row r="955" spans="4:8" ht="13" x14ac:dyDescent="0.15">
      <c r="D955" s="26"/>
      <c r="E955" s="26"/>
      <c r="F955" s="3"/>
      <c r="G955" s="3"/>
      <c r="H955" s="3"/>
    </row>
    <row r="956" spans="4:8" ht="13" x14ac:dyDescent="0.15">
      <c r="D956" s="26"/>
      <c r="E956" s="26"/>
      <c r="F956" s="3"/>
      <c r="G956" s="3"/>
      <c r="H956" s="3"/>
    </row>
    <row r="957" spans="4:8" ht="13" x14ac:dyDescent="0.15">
      <c r="D957" s="26"/>
      <c r="E957" s="26"/>
      <c r="F957" s="3"/>
      <c r="G957" s="3"/>
      <c r="H957" s="3"/>
    </row>
    <row r="958" spans="4:8" ht="13" x14ac:dyDescent="0.15">
      <c r="D958" s="26"/>
      <c r="E958" s="26"/>
      <c r="F958" s="3"/>
      <c r="G958" s="3"/>
      <c r="H958" s="3"/>
    </row>
    <row r="959" spans="4:8" ht="13" x14ac:dyDescent="0.15">
      <c r="D959" s="26"/>
      <c r="E959" s="26"/>
      <c r="F959" s="3"/>
      <c r="G959" s="3"/>
      <c r="H959" s="3"/>
    </row>
    <row r="960" spans="4:8" ht="13" x14ac:dyDescent="0.15">
      <c r="D960" s="26"/>
      <c r="E960" s="26"/>
      <c r="F960" s="3"/>
      <c r="G960" s="3"/>
      <c r="H960" s="3"/>
    </row>
    <row r="961" spans="4:8" ht="13" x14ac:dyDescent="0.15">
      <c r="D961" s="26"/>
      <c r="E961" s="26"/>
      <c r="F961" s="3"/>
      <c r="G961" s="3"/>
      <c r="H961" s="3"/>
    </row>
    <row r="962" spans="4:8" ht="13" x14ac:dyDescent="0.15">
      <c r="D962" s="26"/>
      <c r="E962" s="26"/>
      <c r="F962" s="3"/>
      <c r="G962" s="3"/>
      <c r="H962" s="3"/>
    </row>
    <row r="963" spans="4:8" ht="13" x14ac:dyDescent="0.15">
      <c r="D963" s="26"/>
      <c r="E963" s="26"/>
      <c r="F963" s="3"/>
      <c r="G963" s="3"/>
      <c r="H963" s="3"/>
    </row>
    <row r="964" spans="4:8" ht="13" x14ac:dyDescent="0.15">
      <c r="D964" s="26"/>
      <c r="E964" s="26"/>
      <c r="F964" s="3"/>
      <c r="G964" s="3"/>
      <c r="H964" s="3"/>
    </row>
    <row r="965" spans="4:8" ht="13" x14ac:dyDescent="0.15">
      <c r="D965" s="26"/>
      <c r="E965" s="26"/>
      <c r="F965" s="3"/>
      <c r="G965" s="3"/>
      <c r="H965" s="3"/>
    </row>
    <row r="966" spans="4:8" ht="13" x14ac:dyDescent="0.15">
      <c r="D966" s="26"/>
      <c r="E966" s="26"/>
      <c r="F966" s="3"/>
      <c r="G966" s="3"/>
      <c r="H966" s="3"/>
    </row>
    <row r="967" spans="4:8" ht="13" x14ac:dyDescent="0.15">
      <c r="D967" s="26"/>
      <c r="E967" s="26"/>
      <c r="F967" s="3"/>
      <c r="G967" s="3"/>
      <c r="H967" s="3"/>
    </row>
    <row r="968" spans="4:8" ht="13" x14ac:dyDescent="0.15">
      <c r="D968" s="26"/>
      <c r="E968" s="26"/>
      <c r="F968" s="3"/>
      <c r="G968" s="3"/>
      <c r="H968" s="3"/>
    </row>
    <row r="969" spans="4:8" ht="13" x14ac:dyDescent="0.15">
      <c r="D969" s="26"/>
      <c r="E969" s="26"/>
      <c r="F969" s="3"/>
      <c r="G969" s="3"/>
      <c r="H969" s="3"/>
    </row>
    <row r="970" spans="4:8" ht="13" x14ac:dyDescent="0.15">
      <c r="D970" s="26"/>
      <c r="E970" s="26"/>
      <c r="F970" s="3"/>
      <c r="G970" s="3"/>
      <c r="H970" s="3"/>
    </row>
    <row r="971" spans="4:8" ht="13" x14ac:dyDescent="0.15">
      <c r="D971" s="26"/>
      <c r="E971" s="26"/>
      <c r="F971" s="3"/>
      <c r="G971" s="3"/>
      <c r="H971" s="3"/>
    </row>
    <row r="972" spans="4:8" ht="13" x14ac:dyDescent="0.15">
      <c r="D972" s="26"/>
      <c r="E972" s="26"/>
      <c r="F972" s="3"/>
      <c r="G972" s="3"/>
      <c r="H972" s="3"/>
    </row>
    <row r="973" spans="4:8" ht="13" x14ac:dyDescent="0.15">
      <c r="D973" s="26"/>
      <c r="E973" s="26"/>
      <c r="F973" s="3"/>
      <c r="G973" s="3"/>
      <c r="H973" s="3"/>
    </row>
    <row r="974" spans="4:8" ht="13" x14ac:dyDescent="0.15">
      <c r="D974" s="26"/>
      <c r="E974" s="26"/>
      <c r="F974" s="3"/>
      <c r="G974" s="3"/>
      <c r="H974" s="3"/>
    </row>
    <row r="975" spans="4:8" ht="13" x14ac:dyDescent="0.15">
      <c r="D975" s="26"/>
      <c r="E975" s="26"/>
      <c r="F975" s="3"/>
      <c r="G975" s="3"/>
      <c r="H975" s="3"/>
    </row>
    <row r="976" spans="4:8" ht="13" x14ac:dyDescent="0.15">
      <c r="D976" s="26"/>
      <c r="E976" s="26"/>
      <c r="F976" s="3"/>
      <c r="G976" s="3"/>
      <c r="H976" s="3"/>
    </row>
    <row r="977" spans="4:8" ht="13" x14ac:dyDescent="0.15">
      <c r="D977" s="26"/>
      <c r="E977" s="26"/>
      <c r="F977" s="3"/>
      <c r="G977" s="3"/>
      <c r="H977" s="3"/>
    </row>
    <row r="978" spans="4:8" ht="13" x14ac:dyDescent="0.15">
      <c r="D978" s="26"/>
      <c r="E978" s="26"/>
      <c r="F978" s="3"/>
      <c r="G978" s="3"/>
      <c r="H978" s="3"/>
    </row>
    <row r="979" spans="4:8" ht="13" x14ac:dyDescent="0.15">
      <c r="D979" s="26"/>
      <c r="E979" s="26"/>
      <c r="F979" s="3"/>
      <c r="G979" s="3"/>
      <c r="H979" s="3"/>
    </row>
    <row r="980" spans="4:8" ht="13" x14ac:dyDescent="0.15">
      <c r="D980" s="26"/>
      <c r="E980" s="26"/>
      <c r="F980" s="3"/>
      <c r="G980" s="3"/>
      <c r="H980" s="3"/>
    </row>
    <row r="981" spans="4:8" ht="13" x14ac:dyDescent="0.15">
      <c r="D981" s="26"/>
      <c r="E981" s="26"/>
      <c r="F981" s="3"/>
      <c r="G981" s="3"/>
      <c r="H981" s="3"/>
    </row>
    <row r="982" spans="4:8" ht="13" x14ac:dyDescent="0.15">
      <c r="D982" s="26"/>
      <c r="E982" s="26"/>
      <c r="F982" s="3"/>
      <c r="G982" s="3"/>
      <c r="H982" s="3"/>
    </row>
    <row r="983" spans="4:8" ht="13" x14ac:dyDescent="0.15">
      <c r="D983" s="26"/>
      <c r="E983" s="26"/>
      <c r="F983" s="3"/>
      <c r="G983" s="3"/>
      <c r="H983" s="3"/>
    </row>
    <row r="984" spans="4:8" ht="13" x14ac:dyDescent="0.15">
      <c r="D984" s="26"/>
      <c r="E984" s="26"/>
      <c r="F984" s="3"/>
      <c r="G984" s="3"/>
      <c r="H984" s="3"/>
    </row>
    <row r="985" spans="4:8" ht="13" x14ac:dyDescent="0.15">
      <c r="D985" s="26"/>
      <c r="E985" s="26"/>
      <c r="F985" s="3"/>
      <c r="G985" s="3"/>
      <c r="H985" s="3"/>
    </row>
    <row r="986" spans="4:8" ht="13" x14ac:dyDescent="0.15">
      <c r="D986" s="26"/>
      <c r="E986" s="26"/>
      <c r="F986" s="3"/>
      <c r="G986" s="3"/>
      <c r="H986" s="3"/>
    </row>
    <row r="987" spans="4:8" ht="13" x14ac:dyDescent="0.15">
      <c r="D987" s="26"/>
      <c r="E987" s="26"/>
      <c r="F987" s="3"/>
      <c r="G987" s="3"/>
      <c r="H987" s="3"/>
    </row>
    <row r="988" spans="4:8" ht="13" x14ac:dyDescent="0.15">
      <c r="D988" s="26"/>
      <c r="E988" s="26"/>
      <c r="F988" s="3"/>
      <c r="G988" s="3"/>
      <c r="H988" s="3"/>
    </row>
    <row r="989" spans="4:8" ht="13" x14ac:dyDescent="0.15">
      <c r="D989" s="26"/>
      <c r="E989" s="26"/>
      <c r="F989" s="3"/>
      <c r="G989" s="3"/>
      <c r="H989" s="3"/>
    </row>
    <row r="990" spans="4:8" ht="13" x14ac:dyDescent="0.15">
      <c r="D990" s="26"/>
      <c r="E990" s="26"/>
      <c r="F990" s="3"/>
      <c r="G990" s="3"/>
      <c r="H990" s="3"/>
    </row>
    <row r="991" spans="4:8" ht="13" x14ac:dyDescent="0.15">
      <c r="D991" s="26"/>
      <c r="E991" s="26"/>
      <c r="F991" s="3"/>
      <c r="G991" s="3"/>
      <c r="H991" s="3"/>
    </row>
    <row r="992" spans="4:8" ht="13" x14ac:dyDescent="0.15">
      <c r="D992" s="26"/>
      <c r="E992" s="26"/>
      <c r="F992" s="3"/>
      <c r="G992" s="3"/>
      <c r="H992" s="3"/>
    </row>
    <row r="993" spans="4:8" ht="13" x14ac:dyDescent="0.15">
      <c r="D993" s="26"/>
      <c r="E993" s="26"/>
      <c r="F993" s="3"/>
      <c r="G993" s="3"/>
      <c r="H993" s="3"/>
    </row>
    <row r="994" spans="4:8" ht="13" x14ac:dyDescent="0.15">
      <c r="D994" s="26"/>
      <c r="E994" s="26"/>
      <c r="F994" s="3"/>
      <c r="G994" s="3"/>
      <c r="H994" s="3"/>
    </row>
    <row r="995" spans="4:8" ht="13" x14ac:dyDescent="0.15">
      <c r="D995" s="26"/>
      <c r="E995" s="26"/>
      <c r="F995" s="3"/>
      <c r="G995" s="3"/>
      <c r="H995" s="3"/>
    </row>
    <row r="996" spans="4:8" ht="13" x14ac:dyDescent="0.15">
      <c r="D996" s="26"/>
      <c r="E996" s="26"/>
      <c r="F996" s="3"/>
      <c r="G996" s="3"/>
      <c r="H996" s="3"/>
    </row>
    <row r="997" spans="4:8" ht="13" x14ac:dyDescent="0.15">
      <c r="D997" s="26"/>
      <c r="E997" s="26"/>
      <c r="F997" s="3"/>
      <c r="G997" s="3"/>
      <c r="H997" s="3"/>
    </row>
    <row r="998" spans="4:8" ht="13" x14ac:dyDescent="0.15">
      <c r="D998" s="26"/>
      <c r="E998" s="26"/>
      <c r="F998" s="3"/>
      <c r="G998" s="3"/>
      <c r="H998" s="3"/>
    </row>
    <row r="999" spans="4:8" ht="13" x14ac:dyDescent="0.15">
      <c r="D999" s="26"/>
      <c r="E999" s="26"/>
      <c r="F999" s="3"/>
      <c r="G999" s="3"/>
      <c r="H999" s="3"/>
    </row>
    <row r="1000" spans="4:8" ht="13" x14ac:dyDescent="0.15">
      <c r="D1000" s="26"/>
      <c r="E1000" s="26"/>
      <c r="F1000" s="3"/>
      <c r="G1000" s="3"/>
      <c r="H1000" s="3"/>
    </row>
    <row r="1001" spans="4:8" ht="13" x14ac:dyDescent="0.15">
      <c r="D1001" s="26"/>
      <c r="E1001" s="26"/>
      <c r="F1001" s="3"/>
      <c r="G1001" s="3"/>
      <c r="H1001" s="3"/>
    </row>
    <row r="1002" spans="4:8" ht="13" x14ac:dyDescent="0.15">
      <c r="D1002" s="26"/>
      <c r="E1002" s="26"/>
      <c r="F1002" s="3"/>
      <c r="G1002" s="3"/>
      <c r="H100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2" width="56" customWidth="1"/>
    <col min="3" max="3" width="6.33203125" customWidth="1"/>
  </cols>
  <sheetData>
    <row r="1" spans="1:8" ht="15.75" customHeight="1" x14ac:dyDescent="0.15">
      <c r="A1" s="1"/>
      <c r="B1" s="25" t="s">
        <v>84</v>
      </c>
      <c r="D1" s="3"/>
      <c r="E1" s="3"/>
      <c r="F1" s="3"/>
      <c r="G1" s="3"/>
      <c r="H1" s="3"/>
    </row>
    <row r="2" spans="1:8" ht="15.75" customHeight="1" x14ac:dyDescent="0.15">
      <c r="D2" s="3"/>
      <c r="E2" s="3"/>
      <c r="F2" s="3"/>
      <c r="G2" s="3"/>
      <c r="H2" s="3"/>
    </row>
    <row r="3" spans="1:8" x14ac:dyDescent="0.2">
      <c r="A3" s="32"/>
      <c r="B3" s="6" t="s">
        <v>1</v>
      </c>
      <c r="C3" s="27"/>
      <c r="D3" s="33" t="s">
        <v>85</v>
      </c>
      <c r="E3" s="33" t="s">
        <v>86</v>
      </c>
      <c r="F3" s="33" t="s">
        <v>87</v>
      </c>
      <c r="G3" s="33" t="s">
        <v>88</v>
      </c>
      <c r="H3" s="33" t="s">
        <v>89</v>
      </c>
    </row>
    <row r="4" spans="1:8" ht="15.75" customHeight="1" x14ac:dyDescent="0.15">
      <c r="B4" s="2"/>
      <c r="D4" s="3"/>
      <c r="E4" s="3"/>
      <c r="F4" s="3"/>
      <c r="G4" s="3"/>
      <c r="H4" s="3"/>
    </row>
    <row r="5" spans="1:8" ht="15.75" customHeight="1" x14ac:dyDescent="0.15">
      <c r="B5" s="2" t="s">
        <v>90</v>
      </c>
      <c r="D5" s="13">
        <v>17031500</v>
      </c>
      <c r="E5" s="13">
        <v>18970400</v>
      </c>
      <c r="F5" s="13">
        <v>13695134</v>
      </c>
      <c r="G5" s="13">
        <v>19574074</v>
      </c>
      <c r="H5" s="13">
        <v>30843886</v>
      </c>
    </row>
    <row r="6" spans="1:8" ht="15.75" customHeight="1" x14ac:dyDescent="0.15">
      <c r="D6" s="3"/>
      <c r="E6" s="3"/>
      <c r="F6" s="3"/>
      <c r="G6" s="3"/>
      <c r="H6" s="3"/>
    </row>
    <row r="7" spans="1:8" ht="15.75" customHeight="1" x14ac:dyDescent="0.15">
      <c r="B7" s="4" t="s">
        <v>91</v>
      </c>
      <c r="D7" s="3"/>
      <c r="E7" s="3"/>
      <c r="F7" s="3"/>
      <c r="G7" s="3"/>
      <c r="H7" s="3"/>
    </row>
    <row r="8" spans="1:8" ht="15.75" customHeight="1" x14ac:dyDescent="0.15">
      <c r="B8" s="4" t="s">
        <v>92</v>
      </c>
      <c r="D8" s="3"/>
      <c r="E8" s="3"/>
      <c r="F8" s="3"/>
      <c r="G8" s="3"/>
      <c r="H8" s="3"/>
    </row>
    <row r="9" spans="1:8" ht="15.75" customHeight="1" x14ac:dyDescent="0.15">
      <c r="B9" s="4" t="s">
        <v>93</v>
      </c>
      <c r="D9" s="3">
        <v>1425778</v>
      </c>
      <c r="E9" s="3">
        <v>1152492</v>
      </c>
      <c r="F9" s="3">
        <v>802986</v>
      </c>
      <c r="G9" s="3">
        <v>1601476</v>
      </c>
      <c r="H9" s="3">
        <v>857024</v>
      </c>
    </row>
    <row r="10" spans="1:8" ht="15.75" customHeight="1" x14ac:dyDescent="0.15">
      <c r="B10" s="4" t="s">
        <v>94</v>
      </c>
      <c r="D10" s="5" t="s">
        <v>14</v>
      </c>
      <c r="E10" s="5" t="s">
        <v>14</v>
      </c>
      <c r="F10" s="3">
        <v>53660</v>
      </c>
      <c r="G10" s="3">
        <v>24441</v>
      </c>
      <c r="H10" s="3">
        <v>0</v>
      </c>
    </row>
    <row r="11" spans="1:8" ht="15.75" customHeight="1" x14ac:dyDescent="0.15">
      <c r="B11" s="4" t="s">
        <v>95</v>
      </c>
      <c r="D11" s="3">
        <v>3959744</v>
      </c>
      <c r="E11" s="3">
        <v>6948102</v>
      </c>
      <c r="F11" s="3">
        <v>9666058</v>
      </c>
      <c r="G11" s="3">
        <v>11964772</v>
      </c>
      <c r="H11" s="3">
        <v>9968066</v>
      </c>
    </row>
    <row r="12" spans="1:8" ht="15.75" customHeight="1" x14ac:dyDescent="0.15">
      <c r="B12" s="10" t="s">
        <v>96</v>
      </c>
      <c r="C12" s="11"/>
      <c r="D12" s="12">
        <f t="shared" ref="D12:H12" si="0">SUM(D5:D11)</f>
        <v>22417022</v>
      </c>
      <c r="E12" s="12">
        <f t="shared" si="0"/>
        <v>27070994</v>
      </c>
      <c r="F12" s="12">
        <f t="shared" si="0"/>
        <v>24217838</v>
      </c>
      <c r="G12" s="12">
        <f t="shared" si="0"/>
        <v>33164763</v>
      </c>
      <c r="H12" s="12">
        <f t="shared" si="0"/>
        <v>41668976</v>
      </c>
    </row>
    <row r="13" spans="1:8" ht="15.75" customHeight="1" x14ac:dyDescent="0.15">
      <c r="D13" s="3"/>
      <c r="E13" s="3"/>
      <c r="F13" s="3"/>
      <c r="G13" s="3"/>
      <c r="H13" s="3"/>
    </row>
    <row r="14" spans="1:8" ht="15.75" customHeight="1" x14ac:dyDescent="0.15">
      <c r="B14" s="2" t="s">
        <v>97</v>
      </c>
      <c r="D14" s="3"/>
      <c r="E14" s="3"/>
      <c r="F14" s="3"/>
      <c r="G14" s="3"/>
      <c r="H14" s="3"/>
    </row>
    <row r="15" spans="1:8" ht="15.75" customHeight="1" x14ac:dyDescent="0.15">
      <c r="B15" s="2" t="s">
        <v>98</v>
      </c>
      <c r="D15" s="13">
        <v>-5032145</v>
      </c>
      <c r="E15" s="13">
        <v>-6201766</v>
      </c>
      <c r="F15" s="13">
        <v>-1888999</v>
      </c>
      <c r="G15" s="13">
        <v>-1993366</v>
      </c>
      <c r="H15" s="13">
        <v>-2542552</v>
      </c>
    </row>
    <row r="16" spans="1:8" ht="15.75" customHeight="1" x14ac:dyDescent="0.15">
      <c r="B16" s="4" t="s">
        <v>99</v>
      </c>
      <c r="D16" s="3">
        <v>156109</v>
      </c>
      <c r="E16" s="3">
        <v>2205312</v>
      </c>
      <c r="F16" s="3">
        <v>3473329</v>
      </c>
      <c r="G16" s="3">
        <v>3479355</v>
      </c>
      <c r="H16" s="3">
        <v>3489590</v>
      </c>
    </row>
    <row r="17" spans="2:8" ht="15.75" customHeight="1" x14ac:dyDescent="0.15">
      <c r="B17" s="10" t="s">
        <v>100</v>
      </c>
      <c r="C17" s="11"/>
      <c r="D17" s="12">
        <f t="shared" ref="D17:H17" si="1">SUM(D15:D16)</f>
        <v>-4876036</v>
      </c>
      <c r="E17" s="12">
        <f t="shared" si="1"/>
        <v>-3996454</v>
      </c>
      <c r="F17" s="12">
        <f t="shared" si="1"/>
        <v>1584330</v>
      </c>
      <c r="G17" s="12">
        <f t="shared" si="1"/>
        <v>1485989</v>
      </c>
      <c r="H17" s="12">
        <f t="shared" si="1"/>
        <v>947038</v>
      </c>
    </row>
    <row r="18" spans="2:8" ht="15.75" customHeight="1" x14ac:dyDescent="0.15">
      <c r="D18" s="3"/>
      <c r="E18" s="3"/>
      <c r="F18" s="3"/>
      <c r="G18" s="3"/>
      <c r="H18" s="3"/>
    </row>
    <row r="19" spans="2:8" ht="15.75" customHeight="1" x14ac:dyDescent="0.15">
      <c r="B19" s="2" t="s">
        <v>101</v>
      </c>
      <c r="D19" s="3"/>
      <c r="E19" s="3"/>
      <c r="F19" s="3"/>
      <c r="G19" s="3"/>
      <c r="H19" s="3"/>
    </row>
    <row r="20" spans="2:8" ht="15.75" customHeight="1" x14ac:dyDescent="0.15">
      <c r="B20" s="4" t="s">
        <v>102</v>
      </c>
      <c r="D20" s="13">
        <v>-7520849</v>
      </c>
      <c r="E20" s="13">
        <v>-633226</v>
      </c>
      <c r="F20" s="13">
        <v>17823645</v>
      </c>
      <c r="G20" s="13">
        <v>7868080</v>
      </c>
      <c r="H20" s="13">
        <v>660116</v>
      </c>
    </row>
    <row r="21" spans="2:8" ht="15.75" customHeight="1" x14ac:dyDescent="0.15">
      <c r="B21" s="4" t="s">
        <v>103</v>
      </c>
      <c r="D21" s="3">
        <v>10538491</v>
      </c>
      <c r="E21" s="3">
        <v>19556589</v>
      </c>
      <c r="F21" s="3">
        <v>-17206508</v>
      </c>
      <c r="G21" s="3">
        <v>-22927499</v>
      </c>
      <c r="H21" s="3">
        <v>-19092017</v>
      </c>
    </row>
    <row r="22" spans="2:8" ht="15.75" customHeight="1" x14ac:dyDescent="0.15">
      <c r="B22" s="4" t="s">
        <v>3</v>
      </c>
      <c r="D22" s="3">
        <v>-4486377</v>
      </c>
      <c r="E22" s="3">
        <v>-14638428</v>
      </c>
      <c r="F22" s="3">
        <v>-3009645</v>
      </c>
      <c r="G22" s="3">
        <v>22661239</v>
      </c>
      <c r="H22" s="3">
        <v>12715585</v>
      </c>
    </row>
    <row r="23" spans="2:8" ht="15.75" customHeight="1" x14ac:dyDescent="0.15">
      <c r="B23" s="4" t="s">
        <v>104</v>
      </c>
      <c r="D23" s="3">
        <v>804101</v>
      </c>
      <c r="E23" s="3">
        <v>-19231443</v>
      </c>
      <c r="F23" s="3">
        <v>2115358</v>
      </c>
      <c r="G23" s="3">
        <v>1789065</v>
      </c>
      <c r="H23" s="3">
        <v>3910912</v>
      </c>
    </row>
    <row r="24" spans="2:8" ht="15.75" customHeight="1" x14ac:dyDescent="0.15">
      <c r="B24" s="4" t="s">
        <v>105</v>
      </c>
      <c r="D24" s="3">
        <v>-59549</v>
      </c>
      <c r="E24" s="3">
        <v>-29865</v>
      </c>
      <c r="F24" s="3">
        <v>-299235</v>
      </c>
      <c r="G24" s="3">
        <v>-11635</v>
      </c>
      <c r="H24" s="3">
        <v>708485</v>
      </c>
    </row>
    <row r="25" spans="2:8" ht="15.75" customHeight="1" x14ac:dyDescent="0.15">
      <c r="B25" s="4" t="s">
        <v>106</v>
      </c>
      <c r="D25" s="3">
        <v>-758172</v>
      </c>
      <c r="E25" s="3">
        <v>67323</v>
      </c>
      <c r="F25" s="3">
        <v>-242417</v>
      </c>
      <c r="G25" s="3">
        <v>157242</v>
      </c>
      <c r="H25" s="3">
        <v>-146325</v>
      </c>
    </row>
    <row r="26" spans="2:8" ht="15.75" customHeight="1" x14ac:dyDescent="0.15">
      <c r="B26" s="4" t="s">
        <v>107</v>
      </c>
      <c r="D26" s="3">
        <v>-224124</v>
      </c>
      <c r="E26" s="3">
        <v>422948</v>
      </c>
      <c r="F26" s="3">
        <v>-543689</v>
      </c>
      <c r="G26" s="3">
        <v>-686277</v>
      </c>
      <c r="H26" s="3">
        <v>896771</v>
      </c>
    </row>
    <row r="27" spans="2:8" ht="15.75" customHeight="1" x14ac:dyDescent="0.15">
      <c r="B27" s="10" t="s">
        <v>100</v>
      </c>
      <c r="C27" s="11"/>
      <c r="D27" s="12">
        <f t="shared" ref="D27:H27" si="2">SUM(D20:D26)</f>
        <v>-1706479</v>
      </c>
      <c r="E27" s="12">
        <f t="shared" si="2"/>
        <v>-14486102</v>
      </c>
      <c r="F27" s="12">
        <f t="shared" si="2"/>
        <v>-1362491</v>
      </c>
      <c r="G27" s="12">
        <f t="shared" si="2"/>
        <v>8850215</v>
      </c>
      <c r="H27" s="12">
        <f t="shared" si="2"/>
        <v>-346473</v>
      </c>
    </row>
    <row r="28" spans="2:8" ht="15.75" customHeight="1" x14ac:dyDescent="0.15">
      <c r="D28" s="3"/>
      <c r="E28" s="3"/>
      <c r="F28" s="3"/>
      <c r="G28" s="3"/>
      <c r="H28" s="3"/>
    </row>
    <row r="29" spans="2:8" ht="15.75" customHeight="1" x14ac:dyDescent="0.15">
      <c r="B29" s="10" t="s">
        <v>108</v>
      </c>
      <c r="C29" s="11"/>
      <c r="D29" s="12">
        <f>D12+D17+D27</f>
        <v>15834507</v>
      </c>
      <c r="E29" s="12">
        <f t="shared" ref="E29:H29" si="3">SUM(E12,E17,E27)</f>
        <v>8588438</v>
      </c>
      <c r="F29" s="12">
        <f t="shared" si="3"/>
        <v>24439677</v>
      </c>
      <c r="G29" s="12">
        <f t="shared" si="3"/>
        <v>43500967</v>
      </c>
      <c r="H29" s="12">
        <f t="shared" si="3"/>
        <v>42269541</v>
      </c>
    </row>
    <row r="30" spans="2:8" ht="15.75" customHeight="1" x14ac:dyDescent="0.15">
      <c r="D30" s="3"/>
      <c r="E30" s="17"/>
      <c r="F30" s="3"/>
      <c r="G30" s="3"/>
      <c r="H30" s="3"/>
    </row>
    <row r="31" spans="2:8" ht="15.75" customHeight="1" x14ac:dyDescent="0.15">
      <c r="B31" s="2" t="s">
        <v>109</v>
      </c>
      <c r="D31" s="3"/>
      <c r="E31" s="3"/>
      <c r="F31" s="3"/>
      <c r="G31" s="3"/>
      <c r="H31" s="3"/>
    </row>
    <row r="32" spans="2:8" ht="15.75" customHeight="1" x14ac:dyDescent="0.15">
      <c r="B32" s="2" t="s">
        <v>110</v>
      </c>
      <c r="D32" s="13">
        <v>-1736476</v>
      </c>
      <c r="E32" s="13">
        <v>-2835873</v>
      </c>
      <c r="F32" s="13">
        <v>-6297749</v>
      </c>
      <c r="G32" s="13">
        <v>-4264347</v>
      </c>
      <c r="H32" s="13">
        <v>-1661530</v>
      </c>
    </row>
    <row r="33" spans="2:8" ht="15.75" customHeight="1" x14ac:dyDescent="0.15">
      <c r="B33" s="4" t="s">
        <v>111</v>
      </c>
      <c r="D33" s="3">
        <v>-3064227</v>
      </c>
      <c r="E33" s="3">
        <v>-3481896</v>
      </c>
      <c r="F33" s="3">
        <v>-3630091</v>
      </c>
      <c r="G33" s="3">
        <v>-3356446</v>
      </c>
      <c r="H33" s="3">
        <v>-3354595</v>
      </c>
    </row>
    <row r="34" spans="2:8" ht="15.75" customHeight="1" x14ac:dyDescent="0.15">
      <c r="B34" s="4" t="s">
        <v>112</v>
      </c>
      <c r="D34" s="3">
        <v>-11641919</v>
      </c>
      <c r="E34" s="3">
        <v>-149226832</v>
      </c>
      <c r="F34" s="3">
        <v>-48858251</v>
      </c>
      <c r="G34" s="5" t="s">
        <v>14</v>
      </c>
      <c r="H34" s="5" t="s">
        <v>14</v>
      </c>
    </row>
    <row r="35" spans="2:8" ht="15.75" customHeight="1" x14ac:dyDescent="0.15">
      <c r="B35" s="4" t="s">
        <v>113</v>
      </c>
      <c r="D35" s="5" t="s">
        <v>14</v>
      </c>
      <c r="E35" s="3">
        <v>2863354</v>
      </c>
      <c r="F35" s="5" t="s">
        <v>14</v>
      </c>
      <c r="G35" s="5" t="s">
        <v>14</v>
      </c>
      <c r="H35" s="5" t="s">
        <v>14</v>
      </c>
    </row>
    <row r="36" spans="2:8" ht="15.75" customHeight="1" x14ac:dyDescent="0.15">
      <c r="B36" s="10" t="s">
        <v>114</v>
      </c>
      <c r="C36" s="11"/>
      <c r="D36" s="12">
        <f t="shared" ref="D36:H36" si="4">SUM(D32:D35)</f>
        <v>-16442622</v>
      </c>
      <c r="E36" s="12">
        <f t="shared" si="4"/>
        <v>-152681247</v>
      </c>
      <c r="F36" s="12">
        <f t="shared" si="4"/>
        <v>-58786091</v>
      </c>
      <c r="G36" s="12">
        <f t="shared" si="4"/>
        <v>-7620793</v>
      </c>
      <c r="H36" s="12">
        <f t="shared" si="4"/>
        <v>-5016125</v>
      </c>
    </row>
    <row r="37" spans="2:8" ht="15.75" customHeight="1" x14ac:dyDescent="0.15">
      <c r="D37" s="3"/>
      <c r="E37" s="3"/>
      <c r="F37" s="3"/>
      <c r="G37" s="3"/>
      <c r="H37" s="3"/>
    </row>
    <row r="38" spans="2:8" ht="15.75" customHeight="1" x14ac:dyDescent="0.15">
      <c r="B38" s="2" t="s">
        <v>115</v>
      </c>
      <c r="D38" s="3"/>
      <c r="E38" s="3"/>
      <c r="F38" s="3"/>
      <c r="G38" s="3"/>
      <c r="H38" s="3"/>
    </row>
    <row r="39" spans="2:8" ht="15.75" customHeight="1" x14ac:dyDescent="0.15">
      <c r="B39" s="4" t="s">
        <v>116</v>
      </c>
      <c r="D39" s="5" t="s">
        <v>14</v>
      </c>
      <c r="E39" s="3">
        <v>130000000</v>
      </c>
      <c r="F39" s="3">
        <v>-3250000</v>
      </c>
      <c r="G39" s="3">
        <v>-3250000</v>
      </c>
      <c r="H39" s="3">
        <v>-3250000</v>
      </c>
    </row>
    <row r="40" spans="2:8" ht="15.75" customHeight="1" x14ac:dyDescent="0.15">
      <c r="B40" s="4" t="s">
        <v>117</v>
      </c>
      <c r="D40" s="3">
        <v>17816780</v>
      </c>
      <c r="E40" s="3">
        <v>32542000</v>
      </c>
      <c r="F40" s="3">
        <v>6657000</v>
      </c>
      <c r="G40" s="3">
        <v>3000000</v>
      </c>
      <c r="H40" s="3">
        <v>0</v>
      </c>
    </row>
    <row r="41" spans="2:8" ht="15.75" customHeight="1" x14ac:dyDescent="0.15">
      <c r="B41" s="4" t="s">
        <v>118</v>
      </c>
      <c r="D41" s="3">
        <v>-15000000</v>
      </c>
      <c r="E41" s="3">
        <v>-9000000</v>
      </c>
      <c r="F41" s="3">
        <v>-10019000</v>
      </c>
      <c r="G41" s="3">
        <v>-10246000</v>
      </c>
      <c r="H41" s="3">
        <v>-7034000</v>
      </c>
    </row>
    <row r="42" spans="2:8" ht="15.75" customHeight="1" x14ac:dyDescent="0.15">
      <c r="B42" s="4" t="s">
        <v>119</v>
      </c>
      <c r="D42" s="3">
        <v>-3250000</v>
      </c>
      <c r="E42" s="3">
        <v>-16625000</v>
      </c>
      <c r="F42" s="3">
        <v>7500000</v>
      </c>
      <c r="G42" s="3">
        <v>-3500000</v>
      </c>
      <c r="H42" s="3">
        <v>-20000000</v>
      </c>
    </row>
    <row r="43" spans="2:8" ht="15.75" customHeight="1" x14ac:dyDescent="0.15">
      <c r="B43" s="4" t="s">
        <v>120</v>
      </c>
      <c r="D43" s="3">
        <v>-1073667</v>
      </c>
      <c r="E43" s="3">
        <v>-2038000</v>
      </c>
      <c r="F43" s="3">
        <v>6620628</v>
      </c>
      <c r="G43" s="3">
        <v>-5730000</v>
      </c>
      <c r="H43" s="3">
        <v>-4694153</v>
      </c>
    </row>
    <row r="44" spans="2:8" ht="15.75" customHeight="1" x14ac:dyDescent="0.15">
      <c r="B44" s="4" t="s">
        <v>121</v>
      </c>
      <c r="D44" s="3">
        <v>53831</v>
      </c>
      <c r="E44" s="3">
        <v>-1055737</v>
      </c>
      <c r="F44" s="3">
        <v>438925</v>
      </c>
      <c r="G44" s="3">
        <v>150076</v>
      </c>
      <c r="H44" s="3">
        <v>-4598</v>
      </c>
    </row>
    <row r="45" spans="2:8" ht="15.75" customHeight="1" x14ac:dyDescent="0.15">
      <c r="B45" s="4" t="s">
        <v>122</v>
      </c>
      <c r="D45" s="3">
        <v>1695303</v>
      </c>
      <c r="E45" s="3">
        <v>-4914740</v>
      </c>
      <c r="F45" s="3">
        <v>5847903</v>
      </c>
      <c r="G45" s="3">
        <v>-6212143</v>
      </c>
      <c r="H45" s="3">
        <v>-8013111</v>
      </c>
    </row>
    <row r="46" spans="2:8" ht="15.75" customHeight="1" x14ac:dyDescent="0.15">
      <c r="B46" s="4" t="s">
        <v>123</v>
      </c>
      <c r="D46" s="3">
        <v>-1701455</v>
      </c>
      <c r="E46" s="3">
        <v>-52440</v>
      </c>
      <c r="F46" s="3">
        <v>-1446020</v>
      </c>
      <c r="G46" s="3">
        <v>-984657</v>
      </c>
      <c r="H46" s="3">
        <v>-1666343</v>
      </c>
    </row>
    <row r="47" spans="2:8" ht="15.75" customHeight="1" x14ac:dyDescent="0.15">
      <c r="B47" s="4" t="s">
        <v>124</v>
      </c>
      <c r="D47" s="3">
        <v>2685391</v>
      </c>
      <c r="E47" s="5" t="s">
        <v>14</v>
      </c>
      <c r="F47" s="5" t="s">
        <v>14</v>
      </c>
      <c r="G47" s="5" t="s">
        <v>14</v>
      </c>
      <c r="H47" s="5" t="s">
        <v>14</v>
      </c>
    </row>
    <row r="48" spans="2:8" ht="15.75" customHeight="1" x14ac:dyDescent="0.15">
      <c r="B48" s="4" t="s">
        <v>125</v>
      </c>
      <c r="D48" s="3">
        <v>-739809</v>
      </c>
      <c r="E48" s="3">
        <v>-4793595</v>
      </c>
      <c r="F48" s="3">
        <v>-879216</v>
      </c>
      <c r="G48" s="3">
        <v>-944930</v>
      </c>
      <c r="H48" s="3">
        <v>-4713413</v>
      </c>
    </row>
    <row r="49" spans="2:8" ht="15.75" customHeight="1" x14ac:dyDescent="0.15">
      <c r="B49" s="4" t="s">
        <v>126</v>
      </c>
      <c r="D49" s="5" t="s">
        <v>14</v>
      </c>
      <c r="E49" s="3">
        <v>45500000</v>
      </c>
      <c r="F49" s="3">
        <v>26316240</v>
      </c>
      <c r="G49" s="5" t="s">
        <v>14</v>
      </c>
      <c r="H49" s="3">
        <v>0</v>
      </c>
    </row>
    <row r="50" spans="2:8" ht="15.75" customHeight="1" x14ac:dyDescent="0.15">
      <c r="B50" s="4" t="s">
        <v>127</v>
      </c>
      <c r="D50" s="3">
        <v>781460</v>
      </c>
      <c r="E50" s="3">
        <v>424111</v>
      </c>
      <c r="F50" s="5" t="s">
        <v>14</v>
      </c>
      <c r="G50" s="3">
        <v>789694</v>
      </c>
      <c r="H50" s="3">
        <v>794385</v>
      </c>
    </row>
    <row r="51" spans="2:8" ht="13" x14ac:dyDescent="0.15">
      <c r="B51" s="4" t="s">
        <v>128</v>
      </c>
      <c r="D51" s="3">
        <v>88670</v>
      </c>
      <c r="E51" s="3">
        <v>-192132</v>
      </c>
      <c r="F51" s="3">
        <v>-1494293</v>
      </c>
      <c r="G51" s="3">
        <v>898829</v>
      </c>
      <c r="H51" s="3">
        <v>-72158</v>
      </c>
    </row>
    <row r="52" spans="2:8" ht="13" x14ac:dyDescent="0.15">
      <c r="B52" s="10" t="s">
        <v>129</v>
      </c>
      <c r="C52" s="11"/>
      <c r="D52" s="12">
        <f t="shared" ref="D52:H52" si="5">SUM(D39:D51)</f>
        <v>1356504</v>
      </c>
      <c r="E52" s="12">
        <f t="shared" si="5"/>
        <v>169794467</v>
      </c>
      <c r="F52" s="12">
        <f t="shared" si="5"/>
        <v>36292167</v>
      </c>
      <c r="G52" s="12">
        <f t="shared" si="5"/>
        <v>-26029131</v>
      </c>
      <c r="H52" s="12">
        <f t="shared" si="5"/>
        <v>-48653391</v>
      </c>
    </row>
    <row r="53" spans="2:8" ht="13" x14ac:dyDescent="0.15">
      <c r="D53" s="3"/>
      <c r="E53" s="3"/>
      <c r="F53" s="3"/>
      <c r="G53" s="3"/>
      <c r="H53" s="3"/>
    </row>
    <row r="54" spans="2:8" ht="13" x14ac:dyDescent="0.15">
      <c r="B54" s="2" t="s">
        <v>130</v>
      </c>
      <c r="D54" s="13">
        <v>748388</v>
      </c>
      <c r="E54" s="13">
        <v>25701658</v>
      </c>
      <c r="F54" s="13">
        <v>1945755</v>
      </c>
      <c r="G54" s="13">
        <v>9851042</v>
      </c>
      <c r="H54" s="13">
        <v>-11399974</v>
      </c>
    </row>
    <row r="55" spans="2:8" ht="13" x14ac:dyDescent="0.15">
      <c r="B55" s="2" t="s">
        <v>131</v>
      </c>
      <c r="D55" s="13">
        <f t="shared" ref="D55:E55" si="6">D54</f>
        <v>748388</v>
      </c>
      <c r="E55" s="13">
        <f t="shared" si="6"/>
        <v>25701658</v>
      </c>
      <c r="F55" s="13">
        <v>1945755</v>
      </c>
      <c r="G55" s="13">
        <v>9851042</v>
      </c>
      <c r="H55" s="13">
        <v>-11399974</v>
      </c>
    </row>
    <row r="56" spans="2:8" ht="13" x14ac:dyDescent="0.15">
      <c r="D56" s="3"/>
      <c r="E56" s="3"/>
      <c r="F56" s="3"/>
      <c r="G56" s="3"/>
      <c r="H56" s="3"/>
    </row>
    <row r="57" spans="2:8" ht="13" x14ac:dyDescent="0.15">
      <c r="B57" s="2" t="s">
        <v>132</v>
      </c>
      <c r="D57" s="13">
        <v>32653347</v>
      </c>
      <c r="E57" s="13">
        <v>33401735</v>
      </c>
      <c r="F57" s="13">
        <v>59103393</v>
      </c>
      <c r="G57" s="13">
        <v>61049148</v>
      </c>
      <c r="H57" s="13">
        <v>70900191</v>
      </c>
    </row>
    <row r="58" spans="2:8" ht="13" x14ac:dyDescent="0.15">
      <c r="B58" s="11" t="s">
        <v>133</v>
      </c>
      <c r="C58" s="11"/>
      <c r="D58" s="14">
        <f t="shared" ref="D58:H58" si="7">D57+D55</f>
        <v>33401735</v>
      </c>
      <c r="E58" s="14">
        <f t="shared" si="7"/>
        <v>59103393</v>
      </c>
      <c r="F58" s="14">
        <f t="shared" si="7"/>
        <v>61049148</v>
      </c>
      <c r="G58" s="14">
        <f t="shared" si="7"/>
        <v>70900190</v>
      </c>
      <c r="H58" s="14">
        <f t="shared" si="7"/>
        <v>59500217</v>
      </c>
    </row>
    <row r="59" spans="2:8" ht="13" x14ac:dyDescent="0.15">
      <c r="D59" s="3"/>
      <c r="E59" s="3"/>
      <c r="F59" s="3"/>
      <c r="G59" s="3"/>
      <c r="H59" s="3"/>
    </row>
    <row r="60" spans="2:8" ht="13" x14ac:dyDescent="0.15">
      <c r="D60" s="3"/>
      <c r="E60" s="3"/>
      <c r="F60" s="3"/>
      <c r="G60" s="3"/>
      <c r="H60" s="3"/>
    </row>
    <row r="61" spans="2:8" ht="13" x14ac:dyDescent="0.15">
      <c r="D61" s="3"/>
      <c r="E61" s="3"/>
      <c r="F61" s="3"/>
      <c r="G61" s="3"/>
      <c r="H61" s="3"/>
    </row>
    <row r="62" spans="2:8" ht="13" x14ac:dyDescent="0.15">
      <c r="D62" s="3"/>
      <c r="E62" s="3"/>
      <c r="F62" s="3"/>
      <c r="G62" s="3"/>
      <c r="H62" s="3"/>
    </row>
    <row r="63" spans="2:8" ht="13" x14ac:dyDescent="0.15">
      <c r="D63" s="3"/>
      <c r="E63" s="3"/>
      <c r="F63" s="3"/>
      <c r="G63" s="3"/>
      <c r="H63" s="3"/>
    </row>
    <row r="64" spans="2:8" ht="13" x14ac:dyDescent="0.15">
      <c r="D64" s="3"/>
      <c r="E64" s="3"/>
      <c r="F64" s="3"/>
      <c r="G64" s="3"/>
      <c r="H64" s="3"/>
    </row>
    <row r="65" spans="4:8" ht="13" x14ac:dyDescent="0.15">
      <c r="D65" s="3"/>
      <c r="E65" s="3"/>
      <c r="F65" s="3"/>
      <c r="G65" s="3"/>
      <c r="H65" s="3"/>
    </row>
    <row r="66" spans="4:8" ht="13" x14ac:dyDescent="0.15">
      <c r="D66" s="3"/>
      <c r="E66" s="3"/>
      <c r="F66" s="3"/>
      <c r="G66" s="3"/>
      <c r="H66" s="3"/>
    </row>
    <row r="67" spans="4:8" ht="13" x14ac:dyDescent="0.15">
      <c r="D67" s="3"/>
      <c r="E67" s="3"/>
      <c r="F67" s="3"/>
      <c r="G67" s="3"/>
      <c r="H67" s="3"/>
    </row>
    <row r="68" spans="4:8" ht="13" x14ac:dyDescent="0.15">
      <c r="D68" s="3"/>
      <c r="E68" s="3"/>
      <c r="F68" s="3"/>
      <c r="G68" s="3"/>
      <c r="H68" s="3"/>
    </row>
    <row r="69" spans="4:8" ht="13" x14ac:dyDescent="0.15">
      <c r="D69" s="3"/>
      <c r="E69" s="3"/>
      <c r="F69" s="3"/>
      <c r="G69" s="3"/>
      <c r="H69" s="3"/>
    </row>
    <row r="70" spans="4:8" ht="13" x14ac:dyDescent="0.15">
      <c r="D70" s="3"/>
      <c r="E70" s="3"/>
      <c r="F70" s="3"/>
      <c r="G70" s="3"/>
      <c r="H70" s="3"/>
    </row>
    <row r="71" spans="4:8" ht="13" x14ac:dyDescent="0.15">
      <c r="D71" s="3"/>
      <c r="E71" s="3"/>
      <c r="F71" s="3"/>
      <c r="G71" s="3"/>
      <c r="H71" s="3"/>
    </row>
    <row r="72" spans="4:8" ht="13" x14ac:dyDescent="0.15">
      <c r="D72" s="3"/>
      <c r="E72" s="3"/>
      <c r="F72" s="3"/>
      <c r="G72" s="3"/>
      <c r="H72" s="3"/>
    </row>
    <row r="73" spans="4:8" ht="13" x14ac:dyDescent="0.15">
      <c r="D73" s="3"/>
      <c r="E73" s="3"/>
      <c r="F73" s="3"/>
      <c r="G73" s="3"/>
      <c r="H73" s="3"/>
    </row>
    <row r="74" spans="4:8" ht="13" x14ac:dyDescent="0.15">
      <c r="D74" s="3"/>
      <c r="E74" s="3"/>
      <c r="F74" s="3"/>
      <c r="G74" s="3"/>
      <c r="H74" s="3"/>
    </row>
    <row r="75" spans="4:8" ht="13" x14ac:dyDescent="0.15">
      <c r="D75" s="3"/>
      <c r="E75" s="3"/>
      <c r="F75" s="3"/>
      <c r="G75" s="3"/>
      <c r="H75" s="3"/>
    </row>
    <row r="76" spans="4:8" ht="13" x14ac:dyDescent="0.15">
      <c r="D76" s="3"/>
      <c r="E76" s="3"/>
      <c r="F76" s="3"/>
      <c r="G76" s="3"/>
      <c r="H76" s="3"/>
    </row>
    <row r="77" spans="4:8" ht="13" x14ac:dyDescent="0.15">
      <c r="D77" s="3"/>
      <c r="E77" s="3"/>
      <c r="F77" s="3"/>
      <c r="G77" s="3"/>
      <c r="H77" s="3"/>
    </row>
    <row r="78" spans="4:8" ht="13" x14ac:dyDescent="0.15">
      <c r="D78" s="3"/>
      <c r="E78" s="3"/>
      <c r="F78" s="3"/>
      <c r="G78" s="3"/>
      <c r="H78" s="3"/>
    </row>
    <row r="79" spans="4:8" ht="13" x14ac:dyDescent="0.15">
      <c r="D79" s="3"/>
      <c r="E79" s="3"/>
      <c r="F79" s="3"/>
      <c r="G79" s="3"/>
      <c r="H79" s="3"/>
    </row>
    <row r="80" spans="4:8" ht="13" x14ac:dyDescent="0.15">
      <c r="D80" s="3"/>
      <c r="E80" s="3"/>
      <c r="F80" s="3"/>
      <c r="G80" s="3"/>
      <c r="H80" s="3"/>
    </row>
    <row r="81" spans="4:8" ht="13" x14ac:dyDescent="0.15">
      <c r="D81" s="3"/>
      <c r="E81" s="3"/>
      <c r="F81" s="3"/>
      <c r="G81" s="3"/>
      <c r="H81" s="3"/>
    </row>
    <row r="82" spans="4:8" ht="13" x14ac:dyDescent="0.15">
      <c r="D82" s="3"/>
      <c r="E82" s="3"/>
      <c r="F82" s="3"/>
      <c r="G82" s="3"/>
      <c r="H82" s="3"/>
    </row>
    <row r="83" spans="4:8" ht="13" x14ac:dyDescent="0.15">
      <c r="D83" s="3"/>
      <c r="E83" s="3"/>
      <c r="F83" s="3"/>
      <c r="G83" s="3"/>
      <c r="H83" s="3"/>
    </row>
    <row r="84" spans="4:8" ht="13" x14ac:dyDescent="0.15">
      <c r="D84" s="3"/>
      <c r="E84" s="3"/>
      <c r="F84" s="3"/>
      <c r="G84" s="3"/>
      <c r="H84" s="3"/>
    </row>
    <row r="85" spans="4:8" ht="13" x14ac:dyDescent="0.15">
      <c r="D85" s="3"/>
      <c r="E85" s="3"/>
      <c r="F85" s="3"/>
      <c r="G85" s="3"/>
      <c r="H85" s="3"/>
    </row>
    <row r="86" spans="4:8" ht="13" x14ac:dyDescent="0.15">
      <c r="D86" s="3"/>
      <c r="E86" s="3"/>
      <c r="F86" s="3"/>
      <c r="G86" s="3"/>
      <c r="H86" s="3"/>
    </row>
    <row r="87" spans="4:8" ht="13" x14ac:dyDescent="0.15">
      <c r="D87" s="3"/>
      <c r="E87" s="3"/>
      <c r="F87" s="3"/>
      <c r="G87" s="3"/>
      <c r="H87" s="3"/>
    </row>
    <row r="88" spans="4:8" ht="13" x14ac:dyDescent="0.15">
      <c r="D88" s="3"/>
      <c r="E88" s="3"/>
      <c r="F88" s="3"/>
      <c r="G88" s="3"/>
      <c r="H88" s="3"/>
    </row>
    <row r="89" spans="4:8" ht="13" x14ac:dyDescent="0.15">
      <c r="D89" s="3"/>
      <c r="E89" s="3"/>
      <c r="F89" s="3"/>
      <c r="G89" s="3"/>
      <c r="H89" s="3"/>
    </row>
    <row r="90" spans="4:8" ht="13" x14ac:dyDescent="0.15">
      <c r="D90" s="3"/>
      <c r="E90" s="3"/>
      <c r="F90" s="3"/>
      <c r="G90" s="3"/>
      <c r="H90" s="3"/>
    </row>
    <row r="91" spans="4:8" ht="13" x14ac:dyDescent="0.15">
      <c r="D91" s="3"/>
      <c r="E91" s="3"/>
      <c r="F91" s="3"/>
      <c r="G91" s="3"/>
      <c r="H91" s="3"/>
    </row>
    <row r="92" spans="4:8" ht="13" x14ac:dyDescent="0.15">
      <c r="D92" s="3"/>
      <c r="E92" s="3"/>
      <c r="F92" s="3"/>
      <c r="G92" s="3"/>
      <c r="H92" s="3"/>
    </row>
    <row r="93" spans="4:8" ht="13" x14ac:dyDescent="0.15">
      <c r="D93" s="3"/>
      <c r="E93" s="3"/>
      <c r="F93" s="3"/>
      <c r="G93" s="3"/>
      <c r="H93" s="3"/>
    </row>
    <row r="94" spans="4:8" ht="13" x14ac:dyDescent="0.15">
      <c r="D94" s="3"/>
      <c r="E94" s="3"/>
      <c r="F94" s="3"/>
      <c r="G94" s="3"/>
      <c r="H94" s="3"/>
    </row>
    <row r="95" spans="4:8" ht="13" x14ac:dyDescent="0.15">
      <c r="D95" s="3"/>
      <c r="E95" s="3"/>
      <c r="F95" s="3"/>
      <c r="G95" s="3"/>
      <c r="H95" s="3"/>
    </row>
    <row r="96" spans="4:8" ht="13" x14ac:dyDescent="0.15">
      <c r="D96" s="3"/>
      <c r="E96" s="3"/>
      <c r="F96" s="3"/>
      <c r="G96" s="3"/>
      <c r="H96" s="3"/>
    </row>
    <row r="97" spans="4:8" ht="13" x14ac:dyDescent="0.15">
      <c r="D97" s="3"/>
      <c r="E97" s="3"/>
      <c r="F97" s="3"/>
      <c r="G97" s="3"/>
      <c r="H97" s="3"/>
    </row>
    <row r="98" spans="4:8" ht="13" x14ac:dyDescent="0.15">
      <c r="D98" s="3"/>
      <c r="E98" s="3"/>
      <c r="F98" s="3"/>
      <c r="G98" s="3"/>
      <c r="H98" s="3"/>
    </row>
    <row r="99" spans="4:8" ht="13" x14ac:dyDescent="0.15">
      <c r="D99" s="3"/>
      <c r="E99" s="3"/>
      <c r="F99" s="3"/>
      <c r="G99" s="3"/>
      <c r="H99" s="3"/>
    </row>
    <row r="100" spans="4:8" ht="13" x14ac:dyDescent="0.15">
      <c r="D100" s="3"/>
      <c r="E100" s="3"/>
      <c r="F100" s="3"/>
      <c r="G100" s="3"/>
      <c r="H100" s="3"/>
    </row>
    <row r="101" spans="4:8" ht="13" x14ac:dyDescent="0.15">
      <c r="D101" s="3"/>
      <c r="E101" s="3"/>
      <c r="F101" s="3"/>
      <c r="G101" s="3"/>
      <c r="H101" s="3"/>
    </row>
    <row r="102" spans="4:8" ht="13" x14ac:dyDescent="0.15">
      <c r="D102" s="3"/>
      <c r="E102" s="3"/>
      <c r="F102" s="3"/>
      <c r="G102" s="3"/>
      <c r="H102" s="3"/>
    </row>
    <row r="103" spans="4:8" ht="13" x14ac:dyDescent="0.15">
      <c r="D103" s="3"/>
      <c r="E103" s="3"/>
      <c r="F103" s="3"/>
      <c r="G103" s="3"/>
      <c r="H103" s="3"/>
    </row>
    <row r="104" spans="4:8" ht="13" x14ac:dyDescent="0.15">
      <c r="D104" s="3"/>
      <c r="E104" s="3"/>
      <c r="F104" s="3"/>
      <c r="G104" s="3"/>
      <c r="H104" s="3"/>
    </row>
    <row r="105" spans="4:8" ht="13" x14ac:dyDescent="0.15">
      <c r="D105" s="3"/>
      <c r="E105" s="3"/>
      <c r="F105" s="3"/>
      <c r="G105" s="3"/>
      <c r="H105" s="3"/>
    </row>
    <row r="106" spans="4:8" ht="13" x14ac:dyDescent="0.15">
      <c r="D106" s="3"/>
      <c r="E106" s="3"/>
      <c r="F106" s="3"/>
      <c r="G106" s="3"/>
      <c r="H106" s="3"/>
    </row>
    <row r="107" spans="4:8" ht="13" x14ac:dyDescent="0.15">
      <c r="D107" s="3"/>
      <c r="E107" s="3"/>
      <c r="F107" s="3"/>
      <c r="G107" s="3"/>
      <c r="H107" s="3"/>
    </row>
    <row r="108" spans="4:8" ht="13" x14ac:dyDescent="0.15">
      <c r="D108" s="3"/>
      <c r="E108" s="3"/>
      <c r="F108" s="3"/>
      <c r="G108" s="3"/>
      <c r="H108" s="3"/>
    </row>
    <row r="109" spans="4:8" ht="13" x14ac:dyDescent="0.15">
      <c r="D109" s="3"/>
      <c r="E109" s="3"/>
      <c r="F109" s="3"/>
      <c r="G109" s="3"/>
      <c r="H109" s="3"/>
    </row>
    <row r="110" spans="4:8" ht="13" x14ac:dyDescent="0.15">
      <c r="D110" s="3"/>
      <c r="E110" s="3"/>
      <c r="F110" s="3"/>
      <c r="G110" s="3"/>
      <c r="H110" s="3"/>
    </row>
    <row r="111" spans="4:8" ht="13" x14ac:dyDescent="0.15">
      <c r="D111" s="3"/>
      <c r="E111" s="3"/>
      <c r="F111" s="3"/>
      <c r="G111" s="3"/>
      <c r="H111" s="3"/>
    </row>
    <row r="112" spans="4:8" ht="13" x14ac:dyDescent="0.15">
      <c r="D112" s="3"/>
      <c r="E112" s="3"/>
      <c r="F112" s="3"/>
      <c r="G112" s="3"/>
      <c r="H112" s="3"/>
    </row>
    <row r="113" spans="4:8" ht="13" x14ac:dyDescent="0.15">
      <c r="D113" s="3"/>
      <c r="E113" s="3"/>
      <c r="F113" s="3"/>
      <c r="G113" s="3"/>
      <c r="H113" s="3"/>
    </row>
    <row r="114" spans="4:8" ht="13" x14ac:dyDescent="0.15">
      <c r="D114" s="3"/>
      <c r="E114" s="3"/>
      <c r="F114" s="3"/>
      <c r="G114" s="3"/>
      <c r="H114" s="3"/>
    </row>
    <row r="115" spans="4:8" ht="13" x14ac:dyDescent="0.15">
      <c r="D115" s="3"/>
      <c r="E115" s="3"/>
      <c r="F115" s="3"/>
      <c r="G115" s="3"/>
      <c r="H115" s="3"/>
    </row>
    <row r="116" spans="4:8" ht="13" x14ac:dyDescent="0.15">
      <c r="D116" s="3"/>
      <c r="E116" s="3"/>
      <c r="F116" s="3"/>
      <c r="G116" s="3"/>
      <c r="H116" s="3"/>
    </row>
    <row r="117" spans="4:8" ht="13" x14ac:dyDescent="0.15">
      <c r="D117" s="3"/>
      <c r="E117" s="3"/>
      <c r="F117" s="3"/>
      <c r="G117" s="3"/>
      <c r="H117" s="3"/>
    </row>
    <row r="118" spans="4:8" ht="13" x14ac:dyDescent="0.15">
      <c r="D118" s="3"/>
      <c r="E118" s="3"/>
      <c r="F118" s="3"/>
      <c r="G118" s="3"/>
      <c r="H118" s="3"/>
    </row>
    <row r="119" spans="4:8" ht="13" x14ac:dyDescent="0.15">
      <c r="D119" s="3"/>
      <c r="E119" s="3"/>
      <c r="F119" s="3"/>
      <c r="G119" s="3"/>
      <c r="H119" s="3"/>
    </row>
    <row r="120" spans="4:8" ht="13" x14ac:dyDescent="0.15">
      <c r="D120" s="3"/>
      <c r="E120" s="3"/>
      <c r="F120" s="3"/>
      <c r="G120" s="3"/>
      <c r="H120" s="3"/>
    </row>
    <row r="121" spans="4:8" ht="13" x14ac:dyDescent="0.15">
      <c r="D121" s="3"/>
      <c r="E121" s="3"/>
      <c r="F121" s="3"/>
      <c r="G121" s="3"/>
      <c r="H121" s="3"/>
    </row>
    <row r="122" spans="4:8" ht="13" x14ac:dyDescent="0.15">
      <c r="D122" s="3"/>
      <c r="E122" s="3"/>
      <c r="F122" s="3"/>
      <c r="G122" s="3"/>
      <c r="H122" s="3"/>
    </row>
    <row r="123" spans="4:8" ht="13" x14ac:dyDescent="0.15">
      <c r="D123" s="3"/>
      <c r="E123" s="3"/>
      <c r="F123" s="3"/>
      <c r="G123" s="3"/>
      <c r="H123" s="3"/>
    </row>
    <row r="124" spans="4:8" ht="13" x14ac:dyDescent="0.15">
      <c r="D124" s="3"/>
      <c r="E124" s="3"/>
      <c r="F124" s="3"/>
      <c r="G124" s="3"/>
      <c r="H124" s="3"/>
    </row>
    <row r="125" spans="4:8" ht="13" x14ac:dyDescent="0.15">
      <c r="D125" s="3"/>
      <c r="E125" s="3"/>
      <c r="F125" s="3"/>
      <c r="G125" s="3"/>
      <c r="H125" s="3"/>
    </row>
    <row r="126" spans="4:8" ht="13" x14ac:dyDescent="0.15">
      <c r="D126" s="3"/>
      <c r="E126" s="3"/>
      <c r="F126" s="3"/>
      <c r="G126" s="3"/>
      <c r="H126" s="3"/>
    </row>
    <row r="127" spans="4:8" ht="13" x14ac:dyDescent="0.15">
      <c r="D127" s="3"/>
      <c r="E127" s="3"/>
      <c r="F127" s="3"/>
      <c r="G127" s="3"/>
      <c r="H127" s="3"/>
    </row>
    <row r="128" spans="4:8" ht="13" x14ac:dyDescent="0.15">
      <c r="D128" s="3"/>
      <c r="E128" s="3"/>
      <c r="F128" s="3"/>
      <c r="G128" s="3"/>
      <c r="H128" s="3"/>
    </row>
    <row r="129" spans="4:8" ht="13" x14ac:dyDescent="0.15">
      <c r="D129" s="3"/>
      <c r="E129" s="3"/>
      <c r="F129" s="3"/>
      <c r="G129" s="3"/>
      <c r="H129" s="3"/>
    </row>
    <row r="130" spans="4:8" ht="13" x14ac:dyDescent="0.15">
      <c r="D130" s="3"/>
      <c r="E130" s="3"/>
      <c r="F130" s="3"/>
      <c r="G130" s="3"/>
      <c r="H130" s="3"/>
    </row>
    <row r="131" spans="4:8" ht="13" x14ac:dyDescent="0.15">
      <c r="D131" s="3"/>
      <c r="E131" s="3"/>
      <c r="F131" s="3"/>
      <c r="G131" s="3"/>
      <c r="H131" s="3"/>
    </row>
    <row r="132" spans="4:8" ht="13" x14ac:dyDescent="0.15">
      <c r="D132" s="3"/>
      <c r="E132" s="3"/>
      <c r="F132" s="3"/>
      <c r="G132" s="3"/>
      <c r="H132" s="3"/>
    </row>
    <row r="133" spans="4:8" ht="13" x14ac:dyDescent="0.15">
      <c r="D133" s="3"/>
      <c r="E133" s="3"/>
      <c r="F133" s="3"/>
      <c r="G133" s="3"/>
      <c r="H133" s="3"/>
    </row>
    <row r="134" spans="4:8" ht="13" x14ac:dyDescent="0.15">
      <c r="D134" s="3"/>
      <c r="E134" s="3"/>
      <c r="F134" s="3"/>
      <c r="G134" s="3"/>
      <c r="H134" s="3"/>
    </row>
    <row r="135" spans="4:8" ht="13" x14ac:dyDescent="0.15">
      <c r="D135" s="3"/>
      <c r="E135" s="3"/>
      <c r="F135" s="3"/>
      <c r="G135" s="3"/>
      <c r="H135" s="3"/>
    </row>
    <row r="136" spans="4:8" ht="13" x14ac:dyDescent="0.15">
      <c r="D136" s="3"/>
      <c r="E136" s="3"/>
      <c r="F136" s="3"/>
      <c r="G136" s="3"/>
      <c r="H136" s="3"/>
    </row>
    <row r="137" spans="4:8" ht="13" x14ac:dyDescent="0.15">
      <c r="D137" s="3"/>
      <c r="E137" s="3"/>
      <c r="F137" s="3"/>
      <c r="G137" s="3"/>
      <c r="H137" s="3"/>
    </row>
    <row r="138" spans="4:8" ht="13" x14ac:dyDescent="0.15">
      <c r="D138" s="3"/>
      <c r="E138" s="3"/>
      <c r="F138" s="3"/>
      <c r="G138" s="3"/>
      <c r="H138" s="3"/>
    </row>
    <row r="139" spans="4:8" ht="13" x14ac:dyDescent="0.15">
      <c r="D139" s="3"/>
      <c r="E139" s="3"/>
      <c r="F139" s="3"/>
      <c r="G139" s="3"/>
      <c r="H139" s="3"/>
    </row>
    <row r="140" spans="4:8" ht="13" x14ac:dyDescent="0.15">
      <c r="D140" s="3"/>
      <c r="E140" s="3"/>
      <c r="F140" s="3"/>
      <c r="G140" s="3"/>
      <c r="H140" s="3"/>
    </row>
    <row r="141" spans="4:8" ht="13" x14ac:dyDescent="0.15">
      <c r="D141" s="3"/>
      <c r="E141" s="3"/>
      <c r="F141" s="3"/>
      <c r="G141" s="3"/>
      <c r="H141" s="3"/>
    </row>
    <row r="142" spans="4:8" ht="13" x14ac:dyDescent="0.15">
      <c r="D142" s="3"/>
      <c r="E142" s="3"/>
      <c r="F142" s="3"/>
      <c r="G142" s="3"/>
      <c r="H142" s="3"/>
    </row>
    <row r="143" spans="4:8" ht="13" x14ac:dyDescent="0.15">
      <c r="D143" s="3"/>
      <c r="E143" s="3"/>
      <c r="F143" s="3"/>
      <c r="G143" s="3"/>
      <c r="H143" s="3"/>
    </row>
    <row r="144" spans="4:8" ht="13" x14ac:dyDescent="0.15">
      <c r="D144" s="3"/>
      <c r="E144" s="3"/>
      <c r="F144" s="3"/>
      <c r="G144" s="3"/>
      <c r="H144" s="3"/>
    </row>
    <row r="145" spans="4:8" ht="13" x14ac:dyDescent="0.15">
      <c r="D145" s="3"/>
      <c r="E145" s="3"/>
      <c r="F145" s="3"/>
      <c r="G145" s="3"/>
      <c r="H145" s="3"/>
    </row>
    <row r="146" spans="4:8" ht="13" x14ac:dyDescent="0.15">
      <c r="D146" s="3"/>
      <c r="E146" s="3"/>
      <c r="F146" s="3"/>
      <c r="G146" s="3"/>
      <c r="H146" s="3"/>
    </row>
    <row r="147" spans="4:8" ht="13" x14ac:dyDescent="0.15">
      <c r="D147" s="3"/>
      <c r="E147" s="3"/>
      <c r="F147" s="3"/>
      <c r="G147" s="3"/>
      <c r="H147" s="3"/>
    </row>
    <row r="148" spans="4:8" ht="13" x14ac:dyDescent="0.15">
      <c r="D148" s="3"/>
      <c r="E148" s="3"/>
      <c r="F148" s="3"/>
      <c r="G148" s="3"/>
      <c r="H148" s="3"/>
    </row>
    <row r="149" spans="4:8" ht="13" x14ac:dyDescent="0.15">
      <c r="D149" s="3"/>
      <c r="E149" s="3"/>
      <c r="F149" s="3"/>
      <c r="G149" s="3"/>
      <c r="H149" s="3"/>
    </row>
    <row r="150" spans="4:8" ht="13" x14ac:dyDescent="0.15">
      <c r="D150" s="3"/>
      <c r="E150" s="3"/>
      <c r="F150" s="3"/>
      <c r="G150" s="3"/>
      <c r="H150" s="3"/>
    </row>
    <row r="151" spans="4:8" ht="13" x14ac:dyDescent="0.15">
      <c r="D151" s="3"/>
      <c r="E151" s="3"/>
      <c r="F151" s="3"/>
      <c r="G151" s="3"/>
      <c r="H151" s="3"/>
    </row>
    <row r="152" spans="4:8" ht="13" x14ac:dyDescent="0.15">
      <c r="D152" s="3"/>
      <c r="E152" s="3"/>
      <c r="F152" s="3"/>
      <c r="G152" s="3"/>
      <c r="H152" s="3"/>
    </row>
    <row r="153" spans="4:8" ht="13" x14ac:dyDescent="0.15">
      <c r="D153" s="3"/>
      <c r="E153" s="3"/>
      <c r="F153" s="3"/>
      <c r="G153" s="3"/>
      <c r="H153" s="3"/>
    </row>
    <row r="154" spans="4:8" ht="13" x14ac:dyDescent="0.15">
      <c r="D154" s="3"/>
      <c r="E154" s="3"/>
      <c r="F154" s="3"/>
      <c r="G154" s="3"/>
      <c r="H154" s="3"/>
    </row>
    <row r="155" spans="4:8" ht="13" x14ac:dyDescent="0.15">
      <c r="D155" s="3"/>
      <c r="E155" s="3"/>
      <c r="F155" s="3"/>
      <c r="G155" s="3"/>
      <c r="H155" s="3"/>
    </row>
    <row r="156" spans="4:8" ht="13" x14ac:dyDescent="0.15">
      <c r="D156" s="3"/>
      <c r="E156" s="3"/>
      <c r="F156" s="3"/>
      <c r="G156" s="3"/>
      <c r="H156" s="3"/>
    </row>
    <row r="157" spans="4:8" ht="13" x14ac:dyDescent="0.15">
      <c r="D157" s="3"/>
      <c r="E157" s="3"/>
      <c r="F157" s="3"/>
      <c r="G157" s="3"/>
      <c r="H157" s="3"/>
    </row>
    <row r="158" spans="4:8" ht="13" x14ac:dyDescent="0.15">
      <c r="D158" s="3"/>
      <c r="E158" s="3"/>
      <c r="F158" s="3"/>
      <c r="G158" s="3"/>
      <c r="H158" s="3"/>
    </row>
    <row r="159" spans="4:8" ht="13" x14ac:dyDescent="0.15">
      <c r="D159" s="3"/>
      <c r="E159" s="3"/>
      <c r="F159" s="3"/>
      <c r="G159" s="3"/>
      <c r="H159" s="3"/>
    </row>
    <row r="160" spans="4:8" ht="13" x14ac:dyDescent="0.15">
      <c r="D160" s="3"/>
      <c r="E160" s="3"/>
      <c r="F160" s="3"/>
      <c r="G160" s="3"/>
      <c r="H160" s="3"/>
    </row>
    <row r="161" spans="4:8" ht="13" x14ac:dyDescent="0.15">
      <c r="D161" s="3"/>
      <c r="E161" s="3"/>
      <c r="F161" s="3"/>
      <c r="G161" s="3"/>
      <c r="H161" s="3"/>
    </row>
    <row r="162" spans="4:8" ht="13" x14ac:dyDescent="0.15">
      <c r="D162" s="3"/>
      <c r="E162" s="3"/>
      <c r="F162" s="3"/>
      <c r="G162" s="3"/>
      <c r="H162" s="3"/>
    </row>
    <row r="163" spans="4:8" ht="13" x14ac:dyDescent="0.15">
      <c r="D163" s="3"/>
      <c r="E163" s="3"/>
      <c r="F163" s="3"/>
      <c r="G163" s="3"/>
      <c r="H163" s="3"/>
    </row>
    <row r="164" spans="4:8" ht="13" x14ac:dyDescent="0.15">
      <c r="D164" s="3"/>
      <c r="E164" s="3"/>
      <c r="F164" s="3"/>
      <c r="G164" s="3"/>
      <c r="H164" s="3"/>
    </row>
    <row r="165" spans="4:8" ht="13" x14ac:dyDescent="0.15">
      <c r="D165" s="3"/>
      <c r="E165" s="3"/>
      <c r="F165" s="3"/>
      <c r="G165" s="3"/>
      <c r="H165" s="3"/>
    </row>
    <row r="166" spans="4:8" ht="13" x14ac:dyDescent="0.15">
      <c r="D166" s="3"/>
      <c r="E166" s="3"/>
      <c r="F166" s="3"/>
      <c r="G166" s="3"/>
      <c r="H166" s="3"/>
    </row>
    <row r="167" spans="4:8" ht="13" x14ac:dyDescent="0.15">
      <c r="D167" s="3"/>
      <c r="E167" s="3"/>
      <c r="F167" s="3"/>
      <c r="G167" s="3"/>
      <c r="H167" s="3"/>
    </row>
    <row r="168" spans="4:8" ht="13" x14ac:dyDescent="0.15">
      <c r="D168" s="3"/>
      <c r="E168" s="3"/>
      <c r="F168" s="3"/>
      <c r="G168" s="3"/>
      <c r="H168" s="3"/>
    </row>
    <row r="169" spans="4:8" ht="13" x14ac:dyDescent="0.15">
      <c r="D169" s="3"/>
      <c r="E169" s="3"/>
      <c r="F169" s="3"/>
      <c r="G169" s="3"/>
      <c r="H169" s="3"/>
    </row>
    <row r="170" spans="4:8" ht="13" x14ac:dyDescent="0.15">
      <c r="D170" s="3"/>
      <c r="E170" s="3"/>
      <c r="F170" s="3"/>
      <c r="G170" s="3"/>
      <c r="H170" s="3"/>
    </row>
    <row r="171" spans="4:8" ht="13" x14ac:dyDescent="0.15">
      <c r="D171" s="3"/>
      <c r="E171" s="3"/>
      <c r="F171" s="3"/>
      <c r="G171" s="3"/>
      <c r="H171" s="3"/>
    </row>
    <row r="172" spans="4:8" ht="13" x14ac:dyDescent="0.15">
      <c r="D172" s="3"/>
      <c r="E172" s="3"/>
      <c r="F172" s="3"/>
      <c r="G172" s="3"/>
      <c r="H172" s="3"/>
    </row>
    <row r="173" spans="4:8" ht="13" x14ac:dyDescent="0.15">
      <c r="D173" s="3"/>
      <c r="E173" s="3"/>
      <c r="F173" s="3"/>
      <c r="G173" s="3"/>
      <c r="H173" s="3"/>
    </row>
    <row r="174" spans="4:8" ht="13" x14ac:dyDescent="0.15">
      <c r="D174" s="3"/>
      <c r="E174" s="3"/>
      <c r="F174" s="3"/>
      <c r="G174" s="3"/>
      <c r="H174" s="3"/>
    </row>
    <row r="175" spans="4:8" ht="13" x14ac:dyDescent="0.15">
      <c r="D175" s="3"/>
      <c r="E175" s="3"/>
      <c r="F175" s="3"/>
      <c r="G175" s="3"/>
      <c r="H175" s="3"/>
    </row>
    <row r="176" spans="4:8" ht="13" x14ac:dyDescent="0.15">
      <c r="D176" s="3"/>
      <c r="E176" s="3"/>
      <c r="F176" s="3"/>
      <c r="G176" s="3"/>
      <c r="H176" s="3"/>
    </row>
    <row r="177" spans="4:8" ht="13" x14ac:dyDescent="0.15">
      <c r="D177" s="3"/>
      <c r="E177" s="3"/>
      <c r="F177" s="3"/>
      <c r="G177" s="3"/>
      <c r="H177" s="3"/>
    </row>
    <row r="178" spans="4:8" ht="13" x14ac:dyDescent="0.15">
      <c r="D178" s="3"/>
      <c r="E178" s="3"/>
      <c r="F178" s="3"/>
      <c r="G178" s="3"/>
      <c r="H178" s="3"/>
    </row>
    <row r="179" spans="4:8" ht="13" x14ac:dyDescent="0.15">
      <c r="D179" s="3"/>
      <c r="E179" s="3"/>
      <c r="F179" s="3"/>
      <c r="G179" s="3"/>
      <c r="H179" s="3"/>
    </row>
    <row r="180" spans="4:8" ht="13" x14ac:dyDescent="0.15">
      <c r="D180" s="3"/>
      <c r="E180" s="3"/>
      <c r="F180" s="3"/>
      <c r="G180" s="3"/>
      <c r="H180" s="3"/>
    </row>
    <row r="181" spans="4:8" ht="13" x14ac:dyDescent="0.15">
      <c r="D181" s="3"/>
      <c r="E181" s="3"/>
      <c r="F181" s="3"/>
      <c r="G181" s="3"/>
      <c r="H181" s="3"/>
    </row>
    <row r="182" spans="4:8" ht="13" x14ac:dyDescent="0.15">
      <c r="D182" s="3"/>
      <c r="E182" s="3"/>
      <c r="F182" s="3"/>
      <c r="G182" s="3"/>
      <c r="H182" s="3"/>
    </row>
    <row r="183" spans="4:8" ht="13" x14ac:dyDescent="0.15">
      <c r="D183" s="3"/>
      <c r="E183" s="3"/>
      <c r="F183" s="3"/>
      <c r="G183" s="3"/>
      <c r="H183" s="3"/>
    </row>
    <row r="184" spans="4:8" ht="13" x14ac:dyDescent="0.15">
      <c r="D184" s="3"/>
      <c r="E184" s="3"/>
      <c r="F184" s="3"/>
      <c r="G184" s="3"/>
      <c r="H184" s="3"/>
    </row>
    <row r="185" spans="4:8" ht="13" x14ac:dyDescent="0.15">
      <c r="D185" s="3"/>
      <c r="E185" s="3"/>
      <c r="F185" s="3"/>
      <c r="G185" s="3"/>
      <c r="H185" s="3"/>
    </row>
    <row r="186" spans="4:8" ht="13" x14ac:dyDescent="0.15">
      <c r="D186" s="3"/>
      <c r="E186" s="3"/>
      <c r="F186" s="3"/>
      <c r="G186" s="3"/>
      <c r="H186" s="3"/>
    </row>
    <row r="187" spans="4:8" ht="13" x14ac:dyDescent="0.15">
      <c r="D187" s="3"/>
      <c r="E187" s="3"/>
      <c r="F187" s="3"/>
      <c r="G187" s="3"/>
      <c r="H187" s="3"/>
    </row>
    <row r="188" spans="4:8" ht="13" x14ac:dyDescent="0.15">
      <c r="D188" s="3"/>
      <c r="E188" s="3"/>
      <c r="F188" s="3"/>
      <c r="G188" s="3"/>
      <c r="H188" s="3"/>
    </row>
    <row r="189" spans="4:8" ht="13" x14ac:dyDescent="0.15">
      <c r="D189" s="3"/>
      <c r="E189" s="3"/>
      <c r="F189" s="3"/>
      <c r="G189" s="3"/>
      <c r="H189" s="3"/>
    </row>
    <row r="190" spans="4:8" ht="13" x14ac:dyDescent="0.15">
      <c r="D190" s="3"/>
      <c r="E190" s="3"/>
      <c r="F190" s="3"/>
      <c r="G190" s="3"/>
      <c r="H190" s="3"/>
    </row>
    <row r="191" spans="4:8" ht="13" x14ac:dyDescent="0.15">
      <c r="D191" s="3"/>
      <c r="E191" s="3"/>
      <c r="F191" s="3"/>
      <c r="G191" s="3"/>
      <c r="H191" s="3"/>
    </row>
    <row r="192" spans="4:8" ht="13" x14ac:dyDescent="0.15">
      <c r="D192" s="3"/>
      <c r="E192" s="3"/>
      <c r="F192" s="3"/>
      <c r="G192" s="3"/>
      <c r="H192" s="3"/>
    </row>
    <row r="193" spans="4:8" ht="13" x14ac:dyDescent="0.15">
      <c r="D193" s="3"/>
      <c r="E193" s="3"/>
      <c r="F193" s="3"/>
      <c r="G193" s="3"/>
      <c r="H193" s="3"/>
    </row>
    <row r="194" spans="4:8" ht="13" x14ac:dyDescent="0.15">
      <c r="D194" s="3"/>
      <c r="E194" s="3"/>
      <c r="F194" s="3"/>
      <c r="G194" s="3"/>
      <c r="H194" s="3"/>
    </row>
    <row r="195" spans="4:8" ht="13" x14ac:dyDescent="0.15">
      <c r="D195" s="3"/>
      <c r="E195" s="3"/>
      <c r="F195" s="3"/>
      <c r="G195" s="3"/>
      <c r="H195" s="3"/>
    </row>
    <row r="196" spans="4:8" ht="13" x14ac:dyDescent="0.15">
      <c r="D196" s="3"/>
      <c r="E196" s="3"/>
      <c r="F196" s="3"/>
      <c r="G196" s="3"/>
      <c r="H196" s="3"/>
    </row>
    <row r="197" spans="4:8" ht="13" x14ac:dyDescent="0.15">
      <c r="D197" s="3"/>
      <c r="E197" s="3"/>
      <c r="F197" s="3"/>
      <c r="G197" s="3"/>
      <c r="H197" s="3"/>
    </row>
    <row r="198" spans="4:8" ht="13" x14ac:dyDescent="0.15">
      <c r="D198" s="3"/>
      <c r="E198" s="3"/>
      <c r="F198" s="3"/>
      <c r="G198" s="3"/>
      <c r="H198" s="3"/>
    </row>
    <row r="199" spans="4:8" ht="13" x14ac:dyDescent="0.15">
      <c r="D199" s="3"/>
      <c r="E199" s="3"/>
      <c r="F199" s="3"/>
      <c r="G199" s="3"/>
      <c r="H199" s="3"/>
    </row>
    <row r="200" spans="4:8" ht="13" x14ac:dyDescent="0.15">
      <c r="D200" s="3"/>
      <c r="E200" s="3"/>
      <c r="F200" s="3"/>
      <c r="G200" s="3"/>
      <c r="H200" s="3"/>
    </row>
    <row r="201" spans="4:8" ht="13" x14ac:dyDescent="0.15">
      <c r="D201" s="3"/>
      <c r="E201" s="3"/>
      <c r="F201" s="3"/>
      <c r="G201" s="3"/>
      <c r="H201" s="3"/>
    </row>
    <row r="202" spans="4:8" ht="13" x14ac:dyDescent="0.15">
      <c r="D202" s="3"/>
      <c r="E202" s="3"/>
      <c r="F202" s="3"/>
      <c r="G202" s="3"/>
      <c r="H202" s="3"/>
    </row>
    <row r="203" spans="4:8" ht="13" x14ac:dyDescent="0.15">
      <c r="D203" s="3"/>
      <c r="E203" s="3"/>
      <c r="F203" s="3"/>
      <c r="G203" s="3"/>
      <c r="H203" s="3"/>
    </row>
    <row r="204" spans="4:8" ht="13" x14ac:dyDescent="0.15">
      <c r="D204" s="3"/>
      <c r="E204" s="3"/>
      <c r="F204" s="3"/>
      <c r="G204" s="3"/>
      <c r="H204" s="3"/>
    </row>
    <row r="205" spans="4:8" ht="13" x14ac:dyDescent="0.15">
      <c r="D205" s="3"/>
      <c r="E205" s="3"/>
      <c r="F205" s="3"/>
      <c r="G205" s="3"/>
      <c r="H205" s="3"/>
    </row>
    <row r="206" spans="4:8" ht="13" x14ac:dyDescent="0.15">
      <c r="D206" s="3"/>
      <c r="E206" s="3"/>
      <c r="F206" s="3"/>
      <c r="G206" s="3"/>
      <c r="H206" s="3"/>
    </row>
    <row r="207" spans="4:8" ht="13" x14ac:dyDescent="0.15">
      <c r="D207" s="3"/>
      <c r="E207" s="3"/>
      <c r="F207" s="3"/>
      <c r="G207" s="3"/>
      <c r="H207" s="3"/>
    </row>
    <row r="208" spans="4:8" ht="13" x14ac:dyDescent="0.15">
      <c r="D208" s="3"/>
      <c r="E208" s="3"/>
      <c r="F208" s="3"/>
      <c r="G208" s="3"/>
      <c r="H208" s="3"/>
    </row>
    <row r="209" spans="4:8" ht="13" x14ac:dyDescent="0.15">
      <c r="D209" s="3"/>
      <c r="E209" s="3"/>
      <c r="F209" s="3"/>
      <c r="G209" s="3"/>
      <c r="H209" s="3"/>
    </row>
    <row r="210" spans="4:8" ht="13" x14ac:dyDescent="0.15">
      <c r="D210" s="3"/>
      <c r="E210" s="3"/>
      <c r="F210" s="3"/>
      <c r="G210" s="3"/>
      <c r="H210" s="3"/>
    </row>
    <row r="211" spans="4:8" ht="13" x14ac:dyDescent="0.15">
      <c r="D211" s="3"/>
      <c r="E211" s="3"/>
      <c r="F211" s="3"/>
      <c r="G211" s="3"/>
      <c r="H211" s="3"/>
    </row>
    <row r="212" spans="4:8" ht="13" x14ac:dyDescent="0.15">
      <c r="D212" s="3"/>
      <c r="E212" s="3"/>
      <c r="F212" s="3"/>
      <c r="G212" s="3"/>
      <c r="H212" s="3"/>
    </row>
    <row r="213" spans="4:8" ht="13" x14ac:dyDescent="0.15">
      <c r="D213" s="3"/>
      <c r="E213" s="3"/>
      <c r="F213" s="3"/>
      <c r="G213" s="3"/>
      <c r="H213" s="3"/>
    </row>
    <row r="214" spans="4:8" ht="13" x14ac:dyDescent="0.15">
      <c r="D214" s="3"/>
      <c r="E214" s="3"/>
      <c r="F214" s="3"/>
      <c r="G214" s="3"/>
      <c r="H214" s="3"/>
    </row>
    <row r="215" spans="4:8" ht="13" x14ac:dyDescent="0.15">
      <c r="D215" s="3"/>
      <c r="E215" s="3"/>
      <c r="F215" s="3"/>
      <c r="G215" s="3"/>
      <c r="H215" s="3"/>
    </row>
    <row r="216" spans="4:8" ht="13" x14ac:dyDescent="0.15">
      <c r="D216" s="3"/>
      <c r="E216" s="3"/>
      <c r="F216" s="3"/>
      <c r="G216" s="3"/>
      <c r="H216" s="3"/>
    </row>
    <row r="217" spans="4:8" ht="13" x14ac:dyDescent="0.15">
      <c r="D217" s="3"/>
      <c r="E217" s="3"/>
      <c r="F217" s="3"/>
      <c r="G217" s="3"/>
      <c r="H217" s="3"/>
    </row>
    <row r="218" spans="4:8" ht="13" x14ac:dyDescent="0.15">
      <c r="D218" s="3"/>
      <c r="E218" s="3"/>
      <c r="F218" s="3"/>
      <c r="G218" s="3"/>
      <c r="H218" s="3"/>
    </row>
    <row r="219" spans="4:8" ht="13" x14ac:dyDescent="0.15">
      <c r="D219" s="3"/>
      <c r="E219" s="3"/>
      <c r="F219" s="3"/>
      <c r="G219" s="3"/>
      <c r="H219" s="3"/>
    </row>
    <row r="220" spans="4:8" ht="13" x14ac:dyDescent="0.15">
      <c r="D220" s="3"/>
      <c r="E220" s="3"/>
      <c r="F220" s="3"/>
      <c r="G220" s="3"/>
      <c r="H220" s="3"/>
    </row>
    <row r="221" spans="4:8" ht="13" x14ac:dyDescent="0.15">
      <c r="D221" s="3"/>
      <c r="E221" s="3"/>
      <c r="F221" s="3"/>
      <c r="G221" s="3"/>
      <c r="H221" s="3"/>
    </row>
    <row r="222" spans="4:8" ht="13" x14ac:dyDescent="0.15">
      <c r="D222" s="3"/>
      <c r="E222" s="3"/>
      <c r="F222" s="3"/>
      <c r="G222" s="3"/>
      <c r="H222" s="3"/>
    </row>
    <row r="223" spans="4:8" ht="13" x14ac:dyDescent="0.15">
      <c r="D223" s="3"/>
      <c r="E223" s="3"/>
      <c r="F223" s="3"/>
      <c r="G223" s="3"/>
      <c r="H223" s="3"/>
    </row>
    <row r="224" spans="4:8" ht="13" x14ac:dyDescent="0.15">
      <c r="D224" s="3"/>
      <c r="E224" s="3"/>
      <c r="F224" s="3"/>
      <c r="G224" s="3"/>
      <c r="H224" s="3"/>
    </row>
    <row r="225" spans="4:8" ht="13" x14ac:dyDescent="0.15">
      <c r="D225" s="3"/>
      <c r="E225" s="3"/>
      <c r="F225" s="3"/>
      <c r="G225" s="3"/>
      <c r="H225" s="3"/>
    </row>
    <row r="226" spans="4:8" ht="13" x14ac:dyDescent="0.15">
      <c r="D226" s="3"/>
      <c r="E226" s="3"/>
      <c r="F226" s="3"/>
      <c r="G226" s="3"/>
      <c r="H226" s="3"/>
    </row>
    <row r="227" spans="4:8" ht="13" x14ac:dyDescent="0.15">
      <c r="D227" s="3"/>
      <c r="E227" s="3"/>
      <c r="F227" s="3"/>
      <c r="G227" s="3"/>
      <c r="H227" s="3"/>
    </row>
    <row r="228" spans="4:8" ht="13" x14ac:dyDescent="0.15">
      <c r="D228" s="3"/>
      <c r="E228" s="3"/>
      <c r="F228" s="3"/>
      <c r="G228" s="3"/>
      <c r="H228" s="3"/>
    </row>
    <row r="229" spans="4:8" ht="13" x14ac:dyDescent="0.15">
      <c r="D229" s="3"/>
      <c r="E229" s="3"/>
      <c r="F229" s="3"/>
      <c r="G229" s="3"/>
      <c r="H229" s="3"/>
    </row>
    <row r="230" spans="4:8" ht="13" x14ac:dyDescent="0.15">
      <c r="D230" s="3"/>
      <c r="E230" s="3"/>
      <c r="F230" s="3"/>
      <c r="G230" s="3"/>
      <c r="H230" s="3"/>
    </row>
    <row r="231" spans="4:8" ht="13" x14ac:dyDescent="0.15">
      <c r="D231" s="3"/>
      <c r="E231" s="3"/>
      <c r="F231" s="3"/>
      <c r="G231" s="3"/>
      <c r="H231" s="3"/>
    </row>
    <row r="232" spans="4:8" ht="13" x14ac:dyDescent="0.15">
      <c r="D232" s="3"/>
      <c r="E232" s="3"/>
      <c r="F232" s="3"/>
      <c r="G232" s="3"/>
      <c r="H232" s="3"/>
    </row>
    <row r="233" spans="4:8" ht="13" x14ac:dyDescent="0.15">
      <c r="D233" s="3"/>
      <c r="E233" s="3"/>
      <c r="F233" s="3"/>
      <c r="G233" s="3"/>
      <c r="H233" s="3"/>
    </row>
    <row r="234" spans="4:8" ht="13" x14ac:dyDescent="0.15">
      <c r="D234" s="3"/>
      <c r="E234" s="3"/>
      <c r="F234" s="3"/>
      <c r="G234" s="3"/>
      <c r="H234" s="3"/>
    </row>
    <row r="235" spans="4:8" ht="13" x14ac:dyDescent="0.15">
      <c r="D235" s="3"/>
      <c r="E235" s="3"/>
      <c r="F235" s="3"/>
      <c r="G235" s="3"/>
      <c r="H235" s="3"/>
    </row>
    <row r="236" spans="4:8" ht="13" x14ac:dyDescent="0.15">
      <c r="D236" s="3"/>
      <c r="E236" s="3"/>
      <c r="F236" s="3"/>
      <c r="G236" s="3"/>
      <c r="H236" s="3"/>
    </row>
    <row r="237" spans="4:8" ht="13" x14ac:dyDescent="0.15">
      <c r="D237" s="3"/>
      <c r="E237" s="3"/>
      <c r="F237" s="3"/>
      <c r="G237" s="3"/>
      <c r="H237" s="3"/>
    </row>
    <row r="238" spans="4:8" ht="13" x14ac:dyDescent="0.15">
      <c r="D238" s="3"/>
      <c r="E238" s="3"/>
      <c r="F238" s="3"/>
      <c r="G238" s="3"/>
      <c r="H238" s="3"/>
    </row>
    <row r="239" spans="4:8" ht="13" x14ac:dyDescent="0.15">
      <c r="D239" s="3"/>
      <c r="E239" s="3"/>
      <c r="F239" s="3"/>
      <c r="G239" s="3"/>
      <c r="H239" s="3"/>
    </row>
    <row r="240" spans="4:8" ht="13" x14ac:dyDescent="0.15">
      <c r="D240" s="3"/>
      <c r="E240" s="3"/>
      <c r="F240" s="3"/>
      <c r="G240" s="3"/>
      <c r="H240" s="3"/>
    </row>
    <row r="241" spans="4:8" ht="13" x14ac:dyDescent="0.15">
      <c r="D241" s="3"/>
      <c r="E241" s="3"/>
      <c r="F241" s="3"/>
      <c r="G241" s="3"/>
      <c r="H241" s="3"/>
    </row>
    <row r="242" spans="4:8" ht="13" x14ac:dyDescent="0.15">
      <c r="D242" s="3"/>
      <c r="E242" s="3"/>
      <c r="F242" s="3"/>
      <c r="G242" s="3"/>
      <c r="H242" s="3"/>
    </row>
    <row r="243" spans="4:8" ht="13" x14ac:dyDescent="0.15">
      <c r="D243" s="3"/>
      <c r="E243" s="3"/>
      <c r="F243" s="3"/>
      <c r="G243" s="3"/>
      <c r="H243" s="3"/>
    </row>
    <row r="244" spans="4:8" ht="13" x14ac:dyDescent="0.15">
      <c r="D244" s="3"/>
      <c r="E244" s="3"/>
      <c r="F244" s="3"/>
      <c r="G244" s="3"/>
      <c r="H244" s="3"/>
    </row>
    <row r="245" spans="4:8" ht="13" x14ac:dyDescent="0.15">
      <c r="D245" s="3"/>
      <c r="E245" s="3"/>
      <c r="F245" s="3"/>
      <c r="G245" s="3"/>
      <c r="H245" s="3"/>
    </row>
    <row r="246" spans="4:8" ht="13" x14ac:dyDescent="0.15">
      <c r="D246" s="3"/>
      <c r="E246" s="3"/>
      <c r="F246" s="3"/>
      <c r="G246" s="3"/>
      <c r="H246" s="3"/>
    </row>
    <row r="247" spans="4:8" ht="13" x14ac:dyDescent="0.15">
      <c r="D247" s="3"/>
      <c r="E247" s="3"/>
      <c r="F247" s="3"/>
      <c r="G247" s="3"/>
      <c r="H247" s="3"/>
    </row>
    <row r="248" spans="4:8" ht="13" x14ac:dyDescent="0.15">
      <c r="D248" s="3"/>
      <c r="E248" s="3"/>
      <c r="F248" s="3"/>
      <c r="G248" s="3"/>
      <c r="H248" s="3"/>
    </row>
    <row r="249" spans="4:8" ht="13" x14ac:dyDescent="0.15">
      <c r="D249" s="3"/>
      <c r="E249" s="3"/>
      <c r="F249" s="3"/>
      <c r="G249" s="3"/>
      <c r="H249" s="3"/>
    </row>
    <row r="250" spans="4:8" ht="13" x14ac:dyDescent="0.15">
      <c r="D250" s="3"/>
      <c r="E250" s="3"/>
      <c r="F250" s="3"/>
      <c r="G250" s="3"/>
      <c r="H250" s="3"/>
    </row>
    <row r="251" spans="4:8" ht="13" x14ac:dyDescent="0.15">
      <c r="D251" s="3"/>
      <c r="E251" s="3"/>
      <c r="F251" s="3"/>
      <c r="G251" s="3"/>
      <c r="H251" s="3"/>
    </row>
    <row r="252" spans="4:8" ht="13" x14ac:dyDescent="0.15">
      <c r="D252" s="3"/>
      <c r="E252" s="3"/>
      <c r="F252" s="3"/>
      <c r="G252" s="3"/>
      <c r="H252" s="3"/>
    </row>
    <row r="253" spans="4:8" ht="13" x14ac:dyDescent="0.15">
      <c r="D253" s="3"/>
      <c r="E253" s="3"/>
      <c r="F253" s="3"/>
      <c r="G253" s="3"/>
      <c r="H253" s="3"/>
    </row>
    <row r="254" spans="4:8" ht="13" x14ac:dyDescent="0.15">
      <c r="D254" s="3"/>
      <c r="E254" s="3"/>
      <c r="F254" s="3"/>
      <c r="G254" s="3"/>
      <c r="H254" s="3"/>
    </row>
    <row r="255" spans="4:8" ht="13" x14ac:dyDescent="0.15">
      <c r="D255" s="3"/>
      <c r="E255" s="3"/>
      <c r="F255" s="3"/>
      <c r="G255" s="3"/>
      <c r="H255" s="3"/>
    </row>
    <row r="256" spans="4:8" ht="13" x14ac:dyDescent="0.15">
      <c r="D256" s="3"/>
      <c r="E256" s="3"/>
      <c r="F256" s="3"/>
      <c r="G256" s="3"/>
      <c r="H256" s="3"/>
    </row>
    <row r="257" spans="4:8" ht="13" x14ac:dyDescent="0.15">
      <c r="D257" s="3"/>
      <c r="E257" s="3"/>
      <c r="F257" s="3"/>
      <c r="G257" s="3"/>
      <c r="H257" s="3"/>
    </row>
    <row r="258" spans="4:8" ht="13" x14ac:dyDescent="0.15">
      <c r="D258" s="3"/>
      <c r="E258" s="3"/>
      <c r="F258" s="3"/>
      <c r="G258" s="3"/>
      <c r="H258" s="3"/>
    </row>
    <row r="259" spans="4:8" ht="13" x14ac:dyDescent="0.15">
      <c r="D259" s="3"/>
      <c r="E259" s="3"/>
      <c r="F259" s="3"/>
      <c r="G259" s="3"/>
      <c r="H259" s="3"/>
    </row>
    <row r="260" spans="4:8" ht="13" x14ac:dyDescent="0.15">
      <c r="D260" s="3"/>
      <c r="E260" s="3"/>
      <c r="F260" s="3"/>
      <c r="G260" s="3"/>
      <c r="H260" s="3"/>
    </row>
    <row r="261" spans="4:8" ht="13" x14ac:dyDescent="0.15">
      <c r="D261" s="3"/>
      <c r="E261" s="3"/>
      <c r="F261" s="3"/>
      <c r="G261" s="3"/>
      <c r="H261" s="3"/>
    </row>
    <row r="262" spans="4:8" ht="13" x14ac:dyDescent="0.15">
      <c r="D262" s="3"/>
      <c r="E262" s="3"/>
      <c r="F262" s="3"/>
      <c r="G262" s="3"/>
      <c r="H262" s="3"/>
    </row>
    <row r="263" spans="4:8" ht="13" x14ac:dyDescent="0.15">
      <c r="D263" s="3"/>
      <c r="E263" s="3"/>
      <c r="F263" s="3"/>
      <c r="G263" s="3"/>
      <c r="H263" s="3"/>
    </row>
    <row r="264" spans="4:8" ht="13" x14ac:dyDescent="0.15">
      <c r="D264" s="3"/>
      <c r="E264" s="3"/>
      <c r="F264" s="3"/>
      <c r="G264" s="3"/>
      <c r="H264" s="3"/>
    </row>
    <row r="265" spans="4:8" ht="13" x14ac:dyDescent="0.15">
      <c r="D265" s="3"/>
      <c r="E265" s="3"/>
      <c r="F265" s="3"/>
      <c r="G265" s="3"/>
      <c r="H265" s="3"/>
    </row>
    <row r="266" spans="4:8" ht="13" x14ac:dyDescent="0.15">
      <c r="D266" s="3"/>
      <c r="E266" s="3"/>
      <c r="F266" s="3"/>
      <c r="G266" s="3"/>
      <c r="H266" s="3"/>
    </row>
    <row r="267" spans="4:8" ht="13" x14ac:dyDescent="0.15">
      <c r="D267" s="3"/>
      <c r="E267" s="3"/>
      <c r="F267" s="3"/>
      <c r="G267" s="3"/>
      <c r="H267" s="3"/>
    </row>
    <row r="268" spans="4:8" ht="13" x14ac:dyDescent="0.15">
      <c r="D268" s="3"/>
      <c r="E268" s="3"/>
      <c r="F268" s="3"/>
      <c r="G268" s="3"/>
      <c r="H268" s="3"/>
    </row>
    <row r="269" spans="4:8" ht="13" x14ac:dyDescent="0.15">
      <c r="D269" s="3"/>
      <c r="E269" s="3"/>
      <c r="F269" s="3"/>
      <c r="G269" s="3"/>
      <c r="H269" s="3"/>
    </row>
    <row r="270" spans="4:8" ht="13" x14ac:dyDescent="0.15">
      <c r="D270" s="3"/>
      <c r="E270" s="3"/>
      <c r="F270" s="3"/>
      <c r="G270" s="3"/>
      <c r="H270" s="3"/>
    </row>
    <row r="271" spans="4:8" ht="13" x14ac:dyDescent="0.15">
      <c r="D271" s="3"/>
      <c r="E271" s="3"/>
      <c r="F271" s="3"/>
      <c r="G271" s="3"/>
      <c r="H271" s="3"/>
    </row>
    <row r="272" spans="4:8" ht="13" x14ac:dyDescent="0.15">
      <c r="D272" s="3"/>
      <c r="E272" s="3"/>
      <c r="F272" s="3"/>
      <c r="G272" s="3"/>
      <c r="H272" s="3"/>
    </row>
    <row r="273" spans="4:8" ht="13" x14ac:dyDescent="0.15">
      <c r="D273" s="3"/>
      <c r="E273" s="3"/>
      <c r="F273" s="3"/>
      <c r="G273" s="3"/>
      <c r="H273" s="3"/>
    </row>
    <row r="274" spans="4:8" ht="13" x14ac:dyDescent="0.15">
      <c r="D274" s="3"/>
      <c r="E274" s="3"/>
      <c r="F274" s="3"/>
      <c r="G274" s="3"/>
      <c r="H274" s="3"/>
    </row>
    <row r="275" spans="4:8" ht="13" x14ac:dyDescent="0.15">
      <c r="D275" s="3"/>
      <c r="E275" s="3"/>
      <c r="F275" s="3"/>
      <c r="G275" s="3"/>
      <c r="H275" s="3"/>
    </row>
    <row r="276" spans="4:8" ht="13" x14ac:dyDescent="0.15">
      <c r="D276" s="3"/>
      <c r="E276" s="3"/>
      <c r="F276" s="3"/>
      <c r="G276" s="3"/>
      <c r="H276" s="3"/>
    </row>
    <row r="277" spans="4:8" ht="13" x14ac:dyDescent="0.15">
      <c r="D277" s="3"/>
      <c r="E277" s="3"/>
      <c r="F277" s="3"/>
      <c r="G277" s="3"/>
      <c r="H277" s="3"/>
    </row>
    <row r="278" spans="4:8" ht="13" x14ac:dyDescent="0.15">
      <c r="D278" s="3"/>
      <c r="E278" s="3"/>
      <c r="F278" s="3"/>
      <c r="G278" s="3"/>
      <c r="H278" s="3"/>
    </row>
    <row r="279" spans="4:8" ht="13" x14ac:dyDescent="0.15">
      <c r="D279" s="3"/>
      <c r="E279" s="3"/>
      <c r="F279" s="3"/>
      <c r="G279" s="3"/>
      <c r="H279" s="3"/>
    </row>
    <row r="280" spans="4:8" ht="13" x14ac:dyDescent="0.15">
      <c r="D280" s="3"/>
      <c r="E280" s="3"/>
      <c r="F280" s="3"/>
      <c r="G280" s="3"/>
      <c r="H280" s="3"/>
    </row>
    <row r="281" spans="4:8" ht="13" x14ac:dyDescent="0.15">
      <c r="D281" s="3"/>
      <c r="E281" s="3"/>
      <c r="F281" s="3"/>
      <c r="G281" s="3"/>
      <c r="H281" s="3"/>
    </row>
    <row r="282" spans="4:8" ht="13" x14ac:dyDescent="0.15">
      <c r="D282" s="3"/>
      <c r="E282" s="3"/>
      <c r="F282" s="3"/>
      <c r="G282" s="3"/>
      <c r="H282" s="3"/>
    </row>
    <row r="283" spans="4:8" ht="13" x14ac:dyDescent="0.15">
      <c r="D283" s="3"/>
      <c r="E283" s="3"/>
      <c r="F283" s="3"/>
      <c r="G283" s="3"/>
      <c r="H283" s="3"/>
    </row>
    <row r="284" spans="4:8" ht="13" x14ac:dyDescent="0.15">
      <c r="D284" s="3"/>
      <c r="E284" s="3"/>
      <c r="F284" s="3"/>
      <c r="G284" s="3"/>
      <c r="H284" s="3"/>
    </row>
    <row r="285" spans="4:8" ht="13" x14ac:dyDescent="0.15">
      <c r="D285" s="3"/>
      <c r="E285" s="3"/>
      <c r="F285" s="3"/>
      <c r="G285" s="3"/>
      <c r="H285" s="3"/>
    </row>
    <row r="286" spans="4:8" ht="13" x14ac:dyDescent="0.15">
      <c r="D286" s="3"/>
      <c r="E286" s="3"/>
      <c r="F286" s="3"/>
      <c r="G286" s="3"/>
      <c r="H286" s="3"/>
    </row>
    <row r="287" spans="4:8" ht="13" x14ac:dyDescent="0.15">
      <c r="D287" s="3"/>
      <c r="E287" s="3"/>
      <c r="F287" s="3"/>
      <c r="G287" s="3"/>
      <c r="H287" s="3"/>
    </row>
    <row r="288" spans="4:8" ht="13" x14ac:dyDescent="0.15">
      <c r="D288" s="3"/>
      <c r="E288" s="3"/>
      <c r="F288" s="3"/>
      <c r="G288" s="3"/>
      <c r="H288" s="3"/>
    </row>
    <row r="289" spans="4:8" ht="13" x14ac:dyDescent="0.15">
      <c r="D289" s="3"/>
      <c r="E289" s="3"/>
      <c r="F289" s="3"/>
      <c r="G289" s="3"/>
      <c r="H289" s="3"/>
    </row>
    <row r="290" spans="4:8" ht="13" x14ac:dyDescent="0.15">
      <c r="D290" s="3"/>
      <c r="E290" s="3"/>
      <c r="F290" s="3"/>
      <c r="G290" s="3"/>
      <c r="H290" s="3"/>
    </row>
    <row r="291" spans="4:8" ht="13" x14ac:dyDescent="0.15">
      <c r="D291" s="3"/>
      <c r="E291" s="3"/>
      <c r="F291" s="3"/>
      <c r="G291" s="3"/>
      <c r="H291" s="3"/>
    </row>
    <row r="292" spans="4:8" ht="13" x14ac:dyDescent="0.15">
      <c r="D292" s="3"/>
      <c r="E292" s="3"/>
      <c r="F292" s="3"/>
      <c r="G292" s="3"/>
      <c r="H292" s="3"/>
    </row>
    <row r="293" spans="4:8" ht="13" x14ac:dyDescent="0.15">
      <c r="D293" s="3"/>
      <c r="E293" s="3"/>
      <c r="F293" s="3"/>
      <c r="G293" s="3"/>
      <c r="H293" s="3"/>
    </row>
    <row r="294" spans="4:8" ht="13" x14ac:dyDescent="0.15">
      <c r="D294" s="3"/>
      <c r="E294" s="3"/>
      <c r="F294" s="3"/>
      <c r="G294" s="3"/>
      <c r="H294" s="3"/>
    </row>
    <row r="295" spans="4:8" ht="13" x14ac:dyDescent="0.15">
      <c r="D295" s="3"/>
      <c r="E295" s="3"/>
      <c r="F295" s="3"/>
      <c r="G295" s="3"/>
      <c r="H295" s="3"/>
    </row>
    <row r="296" spans="4:8" ht="13" x14ac:dyDescent="0.15">
      <c r="D296" s="3"/>
      <c r="E296" s="3"/>
      <c r="F296" s="3"/>
      <c r="G296" s="3"/>
      <c r="H296" s="3"/>
    </row>
    <row r="297" spans="4:8" ht="13" x14ac:dyDescent="0.15">
      <c r="D297" s="3"/>
      <c r="E297" s="3"/>
      <c r="F297" s="3"/>
      <c r="G297" s="3"/>
      <c r="H297" s="3"/>
    </row>
    <row r="298" spans="4:8" ht="13" x14ac:dyDescent="0.15">
      <c r="D298" s="3"/>
      <c r="E298" s="3"/>
      <c r="F298" s="3"/>
      <c r="G298" s="3"/>
      <c r="H298" s="3"/>
    </row>
    <row r="299" spans="4:8" ht="13" x14ac:dyDescent="0.15">
      <c r="D299" s="3"/>
      <c r="E299" s="3"/>
      <c r="F299" s="3"/>
      <c r="G299" s="3"/>
      <c r="H299" s="3"/>
    </row>
    <row r="300" spans="4:8" ht="13" x14ac:dyDescent="0.15">
      <c r="D300" s="3"/>
      <c r="E300" s="3"/>
      <c r="F300" s="3"/>
      <c r="G300" s="3"/>
      <c r="H300" s="3"/>
    </row>
    <row r="301" spans="4:8" ht="13" x14ac:dyDescent="0.15">
      <c r="D301" s="3"/>
      <c r="E301" s="3"/>
      <c r="F301" s="3"/>
      <c r="G301" s="3"/>
      <c r="H301" s="3"/>
    </row>
    <row r="302" spans="4:8" ht="13" x14ac:dyDescent="0.15">
      <c r="D302" s="3"/>
      <c r="E302" s="3"/>
      <c r="F302" s="3"/>
      <c r="G302" s="3"/>
      <c r="H302" s="3"/>
    </row>
    <row r="303" spans="4:8" ht="13" x14ac:dyDescent="0.15">
      <c r="D303" s="3"/>
      <c r="E303" s="3"/>
      <c r="F303" s="3"/>
      <c r="G303" s="3"/>
      <c r="H303" s="3"/>
    </row>
    <row r="304" spans="4:8" ht="13" x14ac:dyDescent="0.15">
      <c r="D304" s="3"/>
      <c r="E304" s="3"/>
      <c r="F304" s="3"/>
      <c r="G304" s="3"/>
      <c r="H304" s="3"/>
    </row>
    <row r="305" spans="4:8" ht="13" x14ac:dyDescent="0.15">
      <c r="D305" s="3"/>
      <c r="E305" s="3"/>
      <c r="F305" s="3"/>
      <c r="G305" s="3"/>
      <c r="H305" s="3"/>
    </row>
    <row r="306" spans="4:8" ht="13" x14ac:dyDescent="0.15">
      <c r="D306" s="3"/>
      <c r="E306" s="3"/>
      <c r="F306" s="3"/>
      <c r="G306" s="3"/>
      <c r="H306" s="3"/>
    </row>
    <row r="307" spans="4:8" ht="13" x14ac:dyDescent="0.15">
      <c r="D307" s="3"/>
      <c r="E307" s="3"/>
      <c r="F307" s="3"/>
      <c r="G307" s="3"/>
      <c r="H307" s="3"/>
    </row>
    <row r="308" spans="4:8" ht="13" x14ac:dyDescent="0.15">
      <c r="D308" s="3"/>
      <c r="E308" s="3"/>
      <c r="F308" s="3"/>
      <c r="G308" s="3"/>
      <c r="H308" s="3"/>
    </row>
    <row r="309" spans="4:8" ht="13" x14ac:dyDescent="0.15">
      <c r="D309" s="3"/>
      <c r="E309" s="3"/>
      <c r="F309" s="3"/>
      <c r="G309" s="3"/>
      <c r="H309" s="3"/>
    </row>
    <row r="310" spans="4:8" ht="13" x14ac:dyDescent="0.15">
      <c r="D310" s="3"/>
      <c r="E310" s="3"/>
      <c r="F310" s="3"/>
      <c r="G310" s="3"/>
      <c r="H310" s="3"/>
    </row>
    <row r="311" spans="4:8" ht="13" x14ac:dyDescent="0.15">
      <c r="D311" s="3"/>
      <c r="E311" s="3"/>
      <c r="F311" s="3"/>
      <c r="G311" s="3"/>
      <c r="H311" s="3"/>
    </row>
    <row r="312" spans="4:8" ht="13" x14ac:dyDescent="0.15">
      <c r="D312" s="3"/>
      <c r="E312" s="3"/>
      <c r="F312" s="3"/>
      <c r="G312" s="3"/>
      <c r="H312" s="3"/>
    </row>
    <row r="313" spans="4:8" ht="13" x14ac:dyDescent="0.15">
      <c r="D313" s="3"/>
      <c r="E313" s="3"/>
      <c r="F313" s="3"/>
      <c r="G313" s="3"/>
      <c r="H313" s="3"/>
    </row>
    <row r="314" spans="4:8" ht="13" x14ac:dyDescent="0.15">
      <c r="D314" s="3"/>
      <c r="E314" s="3"/>
      <c r="F314" s="3"/>
      <c r="G314" s="3"/>
      <c r="H314" s="3"/>
    </row>
    <row r="315" spans="4:8" ht="13" x14ac:dyDescent="0.15">
      <c r="D315" s="3"/>
      <c r="E315" s="3"/>
      <c r="F315" s="3"/>
      <c r="G315" s="3"/>
      <c r="H315" s="3"/>
    </row>
    <row r="316" spans="4:8" ht="13" x14ac:dyDescent="0.15">
      <c r="D316" s="3"/>
      <c r="E316" s="3"/>
      <c r="F316" s="3"/>
      <c r="G316" s="3"/>
      <c r="H316" s="3"/>
    </row>
    <row r="317" spans="4:8" ht="13" x14ac:dyDescent="0.15">
      <c r="D317" s="3"/>
      <c r="E317" s="3"/>
      <c r="F317" s="3"/>
      <c r="G317" s="3"/>
      <c r="H317" s="3"/>
    </row>
    <row r="318" spans="4:8" ht="13" x14ac:dyDescent="0.15">
      <c r="D318" s="3"/>
      <c r="E318" s="3"/>
      <c r="F318" s="3"/>
      <c r="G318" s="3"/>
      <c r="H318" s="3"/>
    </row>
    <row r="319" spans="4:8" ht="13" x14ac:dyDescent="0.15">
      <c r="D319" s="3"/>
      <c r="E319" s="3"/>
      <c r="F319" s="3"/>
      <c r="G319" s="3"/>
      <c r="H319" s="3"/>
    </row>
    <row r="320" spans="4:8" ht="13" x14ac:dyDescent="0.15">
      <c r="D320" s="3"/>
      <c r="E320" s="3"/>
      <c r="F320" s="3"/>
      <c r="G320" s="3"/>
      <c r="H320" s="3"/>
    </row>
    <row r="321" spans="4:8" ht="13" x14ac:dyDescent="0.15">
      <c r="D321" s="3"/>
      <c r="E321" s="3"/>
      <c r="F321" s="3"/>
      <c r="G321" s="3"/>
      <c r="H321" s="3"/>
    </row>
    <row r="322" spans="4:8" ht="13" x14ac:dyDescent="0.15">
      <c r="D322" s="3"/>
      <c r="E322" s="3"/>
      <c r="F322" s="3"/>
      <c r="G322" s="3"/>
      <c r="H322" s="3"/>
    </row>
    <row r="323" spans="4:8" ht="13" x14ac:dyDescent="0.15">
      <c r="D323" s="3"/>
      <c r="E323" s="3"/>
      <c r="F323" s="3"/>
      <c r="G323" s="3"/>
      <c r="H323" s="3"/>
    </row>
    <row r="324" spans="4:8" ht="13" x14ac:dyDescent="0.15">
      <c r="D324" s="3"/>
      <c r="E324" s="3"/>
      <c r="F324" s="3"/>
      <c r="G324" s="3"/>
      <c r="H324" s="3"/>
    </row>
    <row r="325" spans="4:8" ht="13" x14ac:dyDescent="0.15">
      <c r="D325" s="3"/>
      <c r="E325" s="3"/>
      <c r="F325" s="3"/>
      <c r="G325" s="3"/>
      <c r="H325" s="3"/>
    </row>
    <row r="326" spans="4:8" ht="13" x14ac:dyDescent="0.15">
      <c r="D326" s="3"/>
      <c r="E326" s="3"/>
      <c r="F326" s="3"/>
      <c r="G326" s="3"/>
      <c r="H326" s="3"/>
    </row>
    <row r="327" spans="4:8" ht="13" x14ac:dyDescent="0.15">
      <c r="D327" s="3"/>
      <c r="E327" s="3"/>
      <c r="F327" s="3"/>
      <c r="G327" s="3"/>
      <c r="H327" s="3"/>
    </row>
    <row r="328" spans="4:8" ht="13" x14ac:dyDescent="0.15">
      <c r="D328" s="3"/>
      <c r="E328" s="3"/>
      <c r="F328" s="3"/>
      <c r="G328" s="3"/>
      <c r="H328" s="3"/>
    </row>
    <row r="329" spans="4:8" ht="13" x14ac:dyDescent="0.15">
      <c r="D329" s="3"/>
      <c r="E329" s="3"/>
      <c r="F329" s="3"/>
      <c r="G329" s="3"/>
      <c r="H329" s="3"/>
    </row>
    <row r="330" spans="4:8" ht="13" x14ac:dyDescent="0.15">
      <c r="D330" s="3"/>
      <c r="E330" s="3"/>
      <c r="F330" s="3"/>
      <c r="G330" s="3"/>
      <c r="H330" s="3"/>
    </row>
    <row r="331" spans="4:8" ht="13" x14ac:dyDescent="0.15">
      <c r="D331" s="3"/>
      <c r="E331" s="3"/>
      <c r="F331" s="3"/>
      <c r="G331" s="3"/>
      <c r="H331" s="3"/>
    </row>
    <row r="332" spans="4:8" ht="13" x14ac:dyDescent="0.15">
      <c r="D332" s="3"/>
      <c r="E332" s="3"/>
      <c r="F332" s="3"/>
      <c r="G332" s="3"/>
      <c r="H332" s="3"/>
    </row>
    <row r="333" spans="4:8" ht="13" x14ac:dyDescent="0.15">
      <c r="D333" s="3"/>
      <c r="E333" s="3"/>
      <c r="F333" s="3"/>
      <c r="G333" s="3"/>
      <c r="H333" s="3"/>
    </row>
    <row r="334" spans="4:8" ht="13" x14ac:dyDescent="0.15">
      <c r="D334" s="3"/>
      <c r="E334" s="3"/>
      <c r="F334" s="3"/>
      <c r="G334" s="3"/>
      <c r="H334" s="3"/>
    </row>
    <row r="335" spans="4:8" ht="13" x14ac:dyDescent="0.15">
      <c r="D335" s="3"/>
      <c r="E335" s="3"/>
      <c r="F335" s="3"/>
      <c r="G335" s="3"/>
      <c r="H335" s="3"/>
    </row>
    <row r="336" spans="4:8" ht="13" x14ac:dyDescent="0.15">
      <c r="D336" s="3"/>
      <c r="E336" s="3"/>
      <c r="F336" s="3"/>
      <c r="G336" s="3"/>
      <c r="H336" s="3"/>
    </row>
    <row r="337" spans="4:8" ht="13" x14ac:dyDescent="0.15">
      <c r="D337" s="3"/>
      <c r="E337" s="3"/>
      <c r="F337" s="3"/>
      <c r="G337" s="3"/>
      <c r="H337" s="3"/>
    </row>
    <row r="338" spans="4:8" ht="13" x14ac:dyDescent="0.15">
      <c r="D338" s="3"/>
      <c r="E338" s="3"/>
      <c r="F338" s="3"/>
      <c r="G338" s="3"/>
      <c r="H338" s="3"/>
    </row>
    <row r="339" spans="4:8" ht="13" x14ac:dyDescent="0.15">
      <c r="D339" s="3"/>
      <c r="E339" s="3"/>
      <c r="F339" s="3"/>
      <c r="G339" s="3"/>
      <c r="H339" s="3"/>
    </row>
    <row r="340" spans="4:8" ht="13" x14ac:dyDescent="0.15">
      <c r="D340" s="3"/>
      <c r="E340" s="3"/>
      <c r="F340" s="3"/>
      <c r="G340" s="3"/>
      <c r="H340" s="3"/>
    </row>
    <row r="341" spans="4:8" ht="13" x14ac:dyDescent="0.15">
      <c r="D341" s="3"/>
      <c r="E341" s="3"/>
      <c r="F341" s="3"/>
      <c r="G341" s="3"/>
      <c r="H341" s="3"/>
    </row>
    <row r="342" spans="4:8" ht="13" x14ac:dyDescent="0.15">
      <c r="D342" s="3"/>
      <c r="E342" s="3"/>
      <c r="F342" s="3"/>
      <c r="G342" s="3"/>
      <c r="H342" s="3"/>
    </row>
    <row r="343" spans="4:8" ht="13" x14ac:dyDescent="0.15">
      <c r="D343" s="3"/>
      <c r="E343" s="3"/>
      <c r="F343" s="3"/>
      <c r="G343" s="3"/>
      <c r="H343" s="3"/>
    </row>
    <row r="344" spans="4:8" ht="13" x14ac:dyDescent="0.15">
      <c r="D344" s="3"/>
      <c r="E344" s="3"/>
      <c r="F344" s="3"/>
      <c r="G344" s="3"/>
      <c r="H344" s="3"/>
    </row>
    <row r="345" spans="4:8" ht="13" x14ac:dyDescent="0.15">
      <c r="D345" s="3"/>
      <c r="E345" s="3"/>
      <c r="F345" s="3"/>
      <c r="G345" s="3"/>
      <c r="H345" s="3"/>
    </row>
    <row r="346" spans="4:8" ht="13" x14ac:dyDescent="0.15">
      <c r="D346" s="3"/>
      <c r="E346" s="3"/>
      <c r="F346" s="3"/>
      <c r="G346" s="3"/>
      <c r="H346" s="3"/>
    </row>
    <row r="347" spans="4:8" ht="13" x14ac:dyDescent="0.15">
      <c r="D347" s="3"/>
      <c r="E347" s="3"/>
      <c r="F347" s="3"/>
      <c r="G347" s="3"/>
      <c r="H347" s="3"/>
    </row>
    <row r="348" spans="4:8" ht="13" x14ac:dyDescent="0.15">
      <c r="D348" s="3"/>
      <c r="E348" s="3"/>
      <c r="F348" s="3"/>
      <c r="G348" s="3"/>
      <c r="H348" s="3"/>
    </row>
    <row r="349" spans="4:8" ht="13" x14ac:dyDescent="0.15">
      <c r="D349" s="3"/>
      <c r="E349" s="3"/>
      <c r="F349" s="3"/>
      <c r="G349" s="3"/>
      <c r="H349" s="3"/>
    </row>
    <row r="350" spans="4:8" ht="13" x14ac:dyDescent="0.15">
      <c r="D350" s="3"/>
      <c r="E350" s="3"/>
      <c r="F350" s="3"/>
      <c r="G350" s="3"/>
      <c r="H350" s="3"/>
    </row>
    <row r="351" spans="4:8" ht="13" x14ac:dyDescent="0.15">
      <c r="D351" s="3"/>
      <c r="E351" s="3"/>
      <c r="F351" s="3"/>
      <c r="G351" s="3"/>
      <c r="H351" s="3"/>
    </row>
    <row r="352" spans="4:8" ht="13" x14ac:dyDescent="0.15">
      <c r="D352" s="3"/>
      <c r="E352" s="3"/>
      <c r="F352" s="3"/>
      <c r="G352" s="3"/>
      <c r="H352" s="3"/>
    </row>
    <row r="353" spans="4:8" ht="13" x14ac:dyDescent="0.15">
      <c r="D353" s="3"/>
      <c r="E353" s="3"/>
      <c r="F353" s="3"/>
      <c r="G353" s="3"/>
      <c r="H353" s="3"/>
    </row>
    <row r="354" spans="4:8" ht="13" x14ac:dyDescent="0.15">
      <c r="D354" s="3"/>
      <c r="E354" s="3"/>
      <c r="F354" s="3"/>
      <c r="G354" s="3"/>
      <c r="H354" s="3"/>
    </row>
    <row r="355" spans="4:8" ht="13" x14ac:dyDescent="0.15">
      <c r="D355" s="3"/>
      <c r="E355" s="3"/>
      <c r="F355" s="3"/>
      <c r="G355" s="3"/>
      <c r="H355" s="3"/>
    </row>
    <row r="356" spans="4:8" ht="13" x14ac:dyDescent="0.15">
      <c r="D356" s="3"/>
      <c r="E356" s="3"/>
      <c r="F356" s="3"/>
      <c r="G356" s="3"/>
      <c r="H356" s="3"/>
    </row>
    <row r="357" spans="4:8" ht="13" x14ac:dyDescent="0.15">
      <c r="D357" s="3"/>
      <c r="E357" s="3"/>
      <c r="F357" s="3"/>
      <c r="G357" s="3"/>
      <c r="H357" s="3"/>
    </row>
    <row r="358" spans="4:8" ht="13" x14ac:dyDescent="0.15">
      <c r="D358" s="3"/>
      <c r="E358" s="3"/>
      <c r="F358" s="3"/>
      <c r="G358" s="3"/>
      <c r="H358" s="3"/>
    </row>
    <row r="359" spans="4:8" ht="13" x14ac:dyDescent="0.15">
      <c r="D359" s="3"/>
      <c r="E359" s="3"/>
      <c r="F359" s="3"/>
      <c r="G359" s="3"/>
      <c r="H359" s="3"/>
    </row>
    <row r="360" spans="4:8" ht="13" x14ac:dyDescent="0.15">
      <c r="D360" s="3"/>
      <c r="E360" s="3"/>
      <c r="F360" s="3"/>
      <c r="G360" s="3"/>
      <c r="H360" s="3"/>
    </row>
    <row r="361" spans="4:8" ht="13" x14ac:dyDescent="0.15">
      <c r="D361" s="3"/>
      <c r="E361" s="3"/>
      <c r="F361" s="3"/>
      <c r="G361" s="3"/>
      <c r="H361" s="3"/>
    </row>
    <row r="362" spans="4:8" ht="13" x14ac:dyDescent="0.15">
      <c r="D362" s="3"/>
      <c r="E362" s="3"/>
      <c r="F362" s="3"/>
      <c r="G362" s="3"/>
      <c r="H362" s="3"/>
    </row>
    <row r="363" spans="4:8" ht="13" x14ac:dyDescent="0.15">
      <c r="D363" s="3"/>
      <c r="E363" s="3"/>
      <c r="F363" s="3"/>
      <c r="G363" s="3"/>
      <c r="H363" s="3"/>
    </row>
    <row r="364" spans="4:8" ht="13" x14ac:dyDescent="0.15">
      <c r="D364" s="3"/>
      <c r="E364" s="3"/>
      <c r="F364" s="3"/>
      <c r="G364" s="3"/>
      <c r="H364" s="3"/>
    </row>
    <row r="365" spans="4:8" ht="13" x14ac:dyDescent="0.15">
      <c r="D365" s="3"/>
      <c r="E365" s="3"/>
      <c r="F365" s="3"/>
      <c r="G365" s="3"/>
      <c r="H365" s="3"/>
    </row>
    <row r="366" spans="4:8" ht="13" x14ac:dyDescent="0.15">
      <c r="D366" s="3"/>
      <c r="E366" s="3"/>
      <c r="F366" s="3"/>
      <c r="G366" s="3"/>
      <c r="H366" s="3"/>
    </row>
    <row r="367" spans="4:8" ht="13" x14ac:dyDescent="0.15">
      <c r="D367" s="3"/>
      <c r="E367" s="3"/>
      <c r="F367" s="3"/>
      <c r="G367" s="3"/>
      <c r="H367" s="3"/>
    </row>
    <row r="368" spans="4:8" ht="13" x14ac:dyDescent="0.15">
      <c r="D368" s="3"/>
      <c r="E368" s="3"/>
      <c r="F368" s="3"/>
      <c r="G368" s="3"/>
      <c r="H368" s="3"/>
    </row>
    <row r="369" spans="4:8" ht="13" x14ac:dyDescent="0.15">
      <c r="D369" s="3"/>
      <c r="E369" s="3"/>
      <c r="F369" s="3"/>
      <c r="G369" s="3"/>
      <c r="H369" s="3"/>
    </row>
    <row r="370" spans="4:8" ht="13" x14ac:dyDescent="0.15">
      <c r="D370" s="3"/>
      <c r="E370" s="3"/>
      <c r="F370" s="3"/>
      <c r="G370" s="3"/>
      <c r="H370" s="3"/>
    </row>
    <row r="371" spans="4:8" ht="13" x14ac:dyDescent="0.15">
      <c r="D371" s="3"/>
      <c r="E371" s="3"/>
      <c r="F371" s="3"/>
      <c r="G371" s="3"/>
      <c r="H371" s="3"/>
    </row>
    <row r="372" spans="4:8" ht="13" x14ac:dyDescent="0.15">
      <c r="D372" s="3"/>
      <c r="E372" s="3"/>
      <c r="F372" s="3"/>
      <c r="G372" s="3"/>
      <c r="H372" s="3"/>
    </row>
    <row r="373" spans="4:8" ht="13" x14ac:dyDescent="0.15">
      <c r="D373" s="3"/>
      <c r="E373" s="3"/>
      <c r="F373" s="3"/>
      <c r="G373" s="3"/>
      <c r="H373" s="3"/>
    </row>
    <row r="374" spans="4:8" ht="13" x14ac:dyDescent="0.15">
      <c r="D374" s="3"/>
      <c r="E374" s="3"/>
      <c r="F374" s="3"/>
      <c r="G374" s="3"/>
      <c r="H374" s="3"/>
    </row>
    <row r="375" spans="4:8" ht="13" x14ac:dyDescent="0.15">
      <c r="D375" s="3"/>
      <c r="E375" s="3"/>
      <c r="F375" s="3"/>
      <c r="G375" s="3"/>
      <c r="H375" s="3"/>
    </row>
    <row r="376" spans="4:8" ht="13" x14ac:dyDescent="0.15">
      <c r="D376" s="3"/>
      <c r="E376" s="3"/>
      <c r="F376" s="3"/>
      <c r="G376" s="3"/>
      <c r="H376" s="3"/>
    </row>
    <row r="377" spans="4:8" ht="13" x14ac:dyDescent="0.15">
      <c r="D377" s="3"/>
      <c r="E377" s="3"/>
      <c r="F377" s="3"/>
      <c r="G377" s="3"/>
      <c r="H377" s="3"/>
    </row>
    <row r="378" spans="4:8" ht="13" x14ac:dyDescent="0.15">
      <c r="D378" s="3"/>
      <c r="E378" s="3"/>
      <c r="F378" s="3"/>
      <c r="G378" s="3"/>
      <c r="H378" s="3"/>
    </row>
    <row r="379" spans="4:8" ht="13" x14ac:dyDescent="0.15">
      <c r="D379" s="3"/>
      <c r="E379" s="3"/>
      <c r="F379" s="3"/>
      <c r="G379" s="3"/>
      <c r="H379" s="3"/>
    </row>
    <row r="380" spans="4:8" ht="13" x14ac:dyDescent="0.15">
      <c r="D380" s="3"/>
      <c r="E380" s="3"/>
      <c r="F380" s="3"/>
      <c r="G380" s="3"/>
      <c r="H380" s="3"/>
    </row>
    <row r="381" spans="4:8" ht="13" x14ac:dyDescent="0.15">
      <c r="D381" s="3"/>
      <c r="E381" s="3"/>
      <c r="F381" s="3"/>
      <c r="G381" s="3"/>
      <c r="H381" s="3"/>
    </row>
    <row r="382" spans="4:8" ht="13" x14ac:dyDescent="0.15">
      <c r="D382" s="3"/>
      <c r="E382" s="3"/>
      <c r="F382" s="3"/>
      <c r="G382" s="3"/>
      <c r="H382" s="3"/>
    </row>
    <row r="383" spans="4:8" ht="13" x14ac:dyDescent="0.15">
      <c r="D383" s="3"/>
      <c r="E383" s="3"/>
      <c r="F383" s="3"/>
      <c r="G383" s="3"/>
      <c r="H383" s="3"/>
    </row>
    <row r="384" spans="4:8" ht="13" x14ac:dyDescent="0.15">
      <c r="D384" s="3"/>
      <c r="E384" s="3"/>
      <c r="F384" s="3"/>
      <c r="G384" s="3"/>
      <c r="H384" s="3"/>
    </row>
    <row r="385" spans="4:8" ht="13" x14ac:dyDescent="0.15">
      <c r="D385" s="3"/>
      <c r="E385" s="3"/>
      <c r="F385" s="3"/>
      <c r="G385" s="3"/>
      <c r="H385" s="3"/>
    </row>
    <row r="386" spans="4:8" ht="13" x14ac:dyDescent="0.15">
      <c r="D386" s="3"/>
      <c r="E386" s="3"/>
      <c r="F386" s="3"/>
      <c r="G386" s="3"/>
      <c r="H386" s="3"/>
    </row>
    <row r="387" spans="4:8" ht="13" x14ac:dyDescent="0.15">
      <c r="D387" s="3"/>
      <c r="E387" s="3"/>
      <c r="F387" s="3"/>
      <c r="G387" s="3"/>
      <c r="H387" s="3"/>
    </row>
    <row r="388" spans="4:8" ht="13" x14ac:dyDescent="0.15">
      <c r="D388" s="3"/>
      <c r="E388" s="3"/>
      <c r="F388" s="3"/>
      <c r="G388" s="3"/>
      <c r="H388" s="3"/>
    </row>
    <row r="389" spans="4:8" ht="13" x14ac:dyDescent="0.15">
      <c r="D389" s="3"/>
      <c r="E389" s="3"/>
      <c r="F389" s="3"/>
      <c r="G389" s="3"/>
      <c r="H389" s="3"/>
    </row>
    <row r="390" spans="4:8" ht="13" x14ac:dyDescent="0.15">
      <c r="D390" s="3"/>
      <c r="E390" s="3"/>
      <c r="F390" s="3"/>
      <c r="G390" s="3"/>
      <c r="H390" s="3"/>
    </row>
    <row r="391" spans="4:8" ht="13" x14ac:dyDescent="0.15">
      <c r="D391" s="3"/>
      <c r="E391" s="3"/>
      <c r="F391" s="3"/>
      <c r="G391" s="3"/>
      <c r="H391" s="3"/>
    </row>
    <row r="392" spans="4:8" ht="13" x14ac:dyDescent="0.15">
      <c r="D392" s="3"/>
      <c r="E392" s="3"/>
      <c r="F392" s="3"/>
      <c r="G392" s="3"/>
      <c r="H392" s="3"/>
    </row>
    <row r="393" spans="4:8" ht="13" x14ac:dyDescent="0.15">
      <c r="D393" s="3"/>
      <c r="E393" s="3"/>
      <c r="F393" s="3"/>
      <c r="G393" s="3"/>
      <c r="H393" s="3"/>
    </row>
    <row r="394" spans="4:8" ht="13" x14ac:dyDescent="0.15">
      <c r="D394" s="3"/>
      <c r="E394" s="3"/>
      <c r="F394" s="3"/>
      <c r="G394" s="3"/>
      <c r="H394" s="3"/>
    </row>
    <row r="395" spans="4:8" ht="13" x14ac:dyDescent="0.15">
      <c r="D395" s="3"/>
      <c r="E395" s="3"/>
      <c r="F395" s="3"/>
      <c r="G395" s="3"/>
      <c r="H395" s="3"/>
    </row>
    <row r="396" spans="4:8" ht="13" x14ac:dyDescent="0.15">
      <c r="D396" s="3"/>
      <c r="E396" s="3"/>
      <c r="F396" s="3"/>
      <c r="G396" s="3"/>
      <c r="H396" s="3"/>
    </row>
    <row r="397" spans="4:8" ht="13" x14ac:dyDescent="0.15">
      <c r="D397" s="3"/>
      <c r="E397" s="3"/>
      <c r="F397" s="3"/>
      <c r="G397" s="3"/>
      <c r="H397" s="3"/>
    </row>
    <row r="398" spans="4:8" ht="13" x14ac:dyDescent="0.15">
      <c r="D398" s="3"/>
      <c r="E398" s="3"/>
      <c r="F398" s="3"/>
      <c r="G398" s="3"/>
      <c r="H398" s="3"/>
    </row>
    <row r="399" spans="4:8" ht="13" x14ac:dyDescent="0.15">
      <c r="D399" s="3"/>
      <c r="E399" s="3"/>
      <c r="F399" s="3"/>
      <c r="G399" s="3"/>
      <c r="H399" s="3"/>
    </row>
    <row r="400" spans="4:8" ht="13" x14ac:dyDescent="0.15">
      <c r="D400" s="3"/>
      <c r="E400" s="3"/>
      <c r="F400" s="3"/>
      <c r="G400" s="3"/>
      <c r="H400" s="3"/>
    </row>
    <row r="401" spans="4:8" ht="13" x14ac:dyDescent="0.15">
      <c r="D401" s="3"/>
      <c r="E401" s="3"/>
      <c r="F401" s="3"/>
      <c r="G401" s="3"/>
      <c r="H401" s="3"/>
    </row>
    <row r="402" spans="4:8" ht="13" x14ac:dyDescent="0.15">
      <c r="D402" s="3"/>
      <c r="E402" s="3"/>
      <c r="F402" s="3"/>
      <c r="G402" s="3"/>
      <c r="H402" s="3"/>
    </row>
    <row r="403" spans="4:8" ht="13" x14ac:dyDescent="0.15">
      <c r="D403" s="3"/>
      <c r="E403" s="3"/>
      <c r="F403" s="3"/>
      <c r="G403" s="3"/>
      <c r="H403" s="3"/>
    </row>
    <row r="404" spans="4:8" ht="13" x14ac:dyDescent="0.15">
      <c r="D404" s="3"/>
      <c r="E404" s="3"/>
      <c r="F404" s="3"/>
      <c r="G404" s="3"/>
      <c r="H404" s="3"/>
    </row>
    <row r="405" spans="4:8" ht="13" x14ac:dyDescent="0.15">
      <c r="D405" s="3"/>
      <c r="E405" s="3"/>
      <c r="F405" s="3"/>
      <c r="G405" s="3"/>
      <c r="H405" s="3"/>
    </row>
    <row r="406" spans="4:8" ht="13" x14ac:dyDescent="0.15">
      <c r="D406" s="3"/>
      <c r="E406" s="3"/>
      <c r="F406" s="3"/>
      <c r="G406" s="3"/>
      <c r="H406" s="3"/>
    </row>
    <row r="407" spans="4:8" ht="13" x14ac:dyDescent="0.15">
      <c r="D407" s="3"/>
      <c r="E407" s="3"/>
      <c r="F407" s="3"/>
      <c r="G407" s="3"/>
      <c r="H407" s="3"/>
    </row>
    <row r="408" spans="4:8" ht="13" x14ac:dyDescent="0.15">
      <c r="D408" s="3"/>
      <c r="E408" s="3"/>
      <c r="F408" s="3"/>
      <c r="G408" s="3"/>
      <c r="H408" s="3"/>
    </row>
    <row r="409" spans="4:8" ht="13" x14ac:dyDescent="0.15">
      <c r="D409" s="3"/>
      <c r="E409" s="3"/>
      <c r="F409" s="3"/>
      <c r="G409" s="3"/>
      <c r="H409" s="3"/>
    </row>
    <row r="410" spans="4:8" ht="13" x14ac:dyDescent="0.15">
      <c r="D410" s="3"/>
      <c r="E410" s="3"/>
      <c r="F410" s="3"/>
      <c r="G410" s="3"/>
      <c r="H410" s="3"/>
    </row>
    <row r="411" spans="4:8" ht="13" x14ac:dyDescent="0.15">
      <c r="D411" s="3"/>
      <c r="E411" s="3"/>
      <c r="F411" s="3"/>
      <c r="G411" s="3"/>
      <c r="H411" s="3"/>
    </row>
    <row r="412" spans="4:8" ht="13" x14ac:dyDescent="0.15">
      <c r="D412" s="3"/>
      <c r="E412" s="3"/>
      <c r="F412" s="3"/>
      <c r="G412" s="3"/>
      <c r="H412" s="3"/>
    </row>
    <row r="413" spans="4:8" ht="13" x14ac:dyDescent="0.15">
      <c r="D413" s="3"/>
      <c r="E413" s="3"/>
      <c r="F413" s="3"/>
      <c r="G413" s="3"/>
      <c r="H413" s="3"/>
    </row>
    <row r="414" spans="4:8" ht="13" x14ac:dyDescent="0.15">
      <c r="D414" s="3"/>
      <c r="E414" s="3"/>
      <c r="F414" s="3"/>
      <c r="G414" s="3"/>
      <c r="H414" s="3"/>
    </row>
    <row r="415" spans="4:8" ht="13" x14ac:dyDescent="0.15">
      <c r="D415" s="3"/>
      <c r="E415" s="3"/>
      <c r="F415" s="3"/>
      <c r="G415" s="3"/>
      <c r="H415" s="3"/>
    </row>
    <row r="416" spans="4:8" ht="13" x14ac:dyDescent="0.15">
      <c r="D416" s="3"/>
      <c r="E416" s="3"/>
      <c r="F416" s="3"/>
      <c r="G416" s="3"/>
      <c r="H416" s="3"/>
    </row>
    <row r="417" spans="4:8" ht="13" x14ac:dyDescent="0.15">
      <c r="D417" s="3"/>
      <c r="E417" s="3"/>
      <c r="F417" s="3"/>
      <c r="G417" s="3"/>
      <c r="H417" s="3"/>
    </row>
    <row r="418" spans="4:8" ht="13" x14ac:dyDescent="0.15">
      <c r="D418" s="3"/>
      <c r="E418" s="3"/>
      <c r="F418" s="3"/>
      <c r="G418" s="3"/>
      <c r="H418" s="3"/>
    </row>
    <row r="419" spans="4:8" ht="13" x14ac:dyDescent="0.15">
      <c r="D419" s="3"/>
      <c r="E419" s="3"/>
      <c r="F419" s="3"/>
      <c r="G419" s="3"/>
      <c r="H419" s="3"/>
    </row>
    <row r="420" spans="4:8" ht="13" x14ac:dyDescent="0.15">
      <c r="D420" s="3"/>
      <c r="E420" s="3"/>
      <c r="F420" s="3"/>
      <c r="G420" s="3"/>
      <c r="H420" s="3"/>
    </row>
    <row r="421" spans="4:8" ht="13" x14ac:dyDescent="0.15">
      <c r="D421" s="3"/>
      <c r="E421" s="3"/>
      <c r="F421" s="3"/>
      <c r="G421" s="3"/>
      <c r="H421" s="3"/>
    </row>
    <row r="422" spans="4:8" ht="13" x14ac:dyDescent="0.15">
      <c r="D422" s="3"/>
      <c r="E422" s="3"/>
      <c r="F422" s="3"/>
      <c r="G422" s="3"/>
      <c r="H422" s="3"/>
    </row>
    <row r="423" spans="4:8" ht="13" x14ac:dyDescent="0.15">
      <c r="D423" s="3"/>
      <c r="E423" s="3"/>
      <c r="F423" s="3"/>
      <c r="G423" s="3"/>
      <c r="H423" s="3"/>
    </row>
    <row r="424" spans="4:8" ht="13" x14ac:dyDescent="0.15">
      <c r="D424" s="3"/>
      <c r="E424" s="3"/>
      <c r="F424" s="3"/>
      <c r="G424" s="3"/>
      <c r="H424" s="3"/>
    </row>
    <row r="425" spans="4:8" ht="13" x14ac:dyDescent="0.15">
      <c r="D425" s="3"/>
      <c r="E425" s="3"/>
      <c r="F425" s="3"/>
      <c r="G425" s="3"/>
      <c r="H425" s="3"/>
    </row>
    <row r="426" spans="4:8" ht="13" x14ac:dyDescent="0.15">
      <c r="D426" s="3"/>
      <c r="E426" s="3"/>
      <c r="F426" s="3"/>
      <c r="G426" s="3"/>
      <c r="H426" s="3"/>
    </row>
    <row r="427" spans="4:8" ht="13" x14ac:dyDescent="0.15">
      <c r="D427" s="3"/>
      <c r="E427" s="3"/>
      <c r="F427" s="3"/>
      <c r="G427" s="3"/>
      <c r="H427" s="3"/>
    </row>
    <row r="428" spans="4:8" ht="13" x14ac:dyDescent="0.15">
      <c r="D428" s="3"/>
      <c r="E428" s="3"/>
      <c r="F428" s="3"/>
      <c r="G428" s="3"/>
      <c r="H428" s="3"/>
    </row>
    <row r="429" spans="4:8" ht="13" x14ac:dyDescent="0.15">
      <c r="D429" s="3"/>
      <c r="E429" s="3"/>
      <c r="F429" s="3"/>
      <c r="G429" s="3"/>
      <c r="H429" s="3"/>
    </row>
    <row r="430" spans="4:8" ht="13" x14ac:dyDescent="0.15">
      <c r="D430" s="3"/>
      <c r="E430" s="3"/>
      <c r="F430" s="3"/>
      <c r="G430" s="3"/>
      <c r="H430" s="3"/>
    </row>
    <row r="431" spans="4:8" ht="13" x14ac:dyDescent="0.15">
      <c r="D431" s="3"/>
      <c r="E431" s="3"/>
      <c r="F431" s="3"/>
      <c r="G431" s="3"/>
      <c r="H431" s="3"/>
    </row>
    <row r="432" spans="4:8" ht="13" x14ac:dyDescent="0.15">
      <c r="D432" s="3"/>
      <c r="E432" s="3"/>
      <c r="F432" s="3"/>
      <c r="G432" s="3"/>
      <c r="H432" s="3"/>
    </row>
    <row r="433" spans="4:8" ht="13" x14ac:dyDescent="0.15">
      <c r="D433" s="3"/>
      <c r="E433" s="3"/>
      <c r="F433" s="3"/>
      <c r="G433" s="3"/>
      <c r="H433" s="3"/>
    </row>
    <row r="434" spans="4:8" ht="13" x14ac:dyDescent="0.15">
      <c r="D434" s="3"/>
      <c r="E434" s="3"/>
      <c r="F434" s="3"/>
      <c r="G434" s="3"/>
      <c r="H434" s="3"/>
    </row>
    <row r="435" spans="4:8" ht="13" x14ac:dyDescent="0.15">
      <c r="D435" s="3"/>
      <c r="E435" s="3"/>
      <c r="F435" s="3"/>
      <c r="G435" s="3"/>
      <c r="H435" s="3"/>
    </row>
    <row r="436" spans="4:8" ht="13" x14ac:dyDescent="0.15">
      <c r="D436" s="3"/>
      <c r="E436" s="3"/>
      <c r="F436" s="3"/>
      <c r="G436" s="3"/>
      <c r="H436" s="3"/>
    </row>
    <row r="437" spans="4:8" ht="13" x14ac:dyDescent="0.15">
      <c r="D437" s="3"/>
      <c r="E437" s="3"/>
      <c r="F437" s="3"/>
      <c r="G437" s="3"/>
      <c r="H437" s="3"/>
    </row>
    <row r="438" spans="4:8" ht="13" x14ac:dyDescent="0.15">
      <c r="D438" s="3"/>
      <c r="E438" s="3"/>
      <c r="F438" s="3"/>
      <c r="G438" s="3"/>
      <c r="H438" s="3"/>
    </row>
    <row r="439" spans="4:8" ht="13" x14ac:dyDescent="0.15">
      <c r="D439" s="3"/>
      <c r="E439" s="3"/>
      <c r="F439" s="3"/>
      <c r="G439" s="3"/>
      <c r="H439" s="3"/>
    </row>
    <row r="440" spans="4:8" ht="13" x14ac:dyDescent="0.15">
      <c r="D440" s="3"/>
      <c r="E440" s="3"/>
      <c r="F440" s="3"/>
      <c r="G440" s="3"/>
      <c r="H440" s="3"/>
    </row>
    <row r="441" spans="4:8" ht="13" x14ac:dyDescent="0.15">
      <c r="D441" s="3"/>
      <c r="E441" s="3"/>
      <c r="F441" s="3"/>
      <c r="G441" s="3"/>
      <c r="H441" s="3"/>
    </row>
    <row r="442" spans="4:8" ht="13" x14ac:dyDescent="0.15">
      <c r="D442" s="3"/>
      <c r="E442" s="3"/>
      <c r="F442" s="3"/>
      <c r="G442" s="3"/>
      <c r="H442" s="3"/>
    </row>
    <row r="443" spans="4:8" ht="13" x14ac:dyDescent="0.15">
      <c r="D443" s="3"/>
      <c r="E443" s="3"/>
      <c r="F443" s="3"/>
      <c r="G443" s="3"/>
      <c r="H443" s="3"/>
    </row>
    <row r="444" spans="4:8" ht="13" x14ac:dyDescent="0.15">
      <c r="D444" s="3"/>
      <c r="E444" s="3"/>
      <c r="F444" s="3"/>
      <c r="G444" s="3"/>
      <c r="H444" s="3"/>
    </row>
    <row r="445" spans="4:8" ht="13" x14ac:dyDescent="0.15">
      <c r="D445" s="3"/>
      <c r="E445" s="3"/>
      <c r="F445" s="3"/>
      <c r="G445" s="3"/>
      <c r="H445" s="3"/>
    </row>
    <row r="446" spans="4:8" ht="13" x14ac:dyDescent="0.15">
      <c r="D446" s="3"/>
      <c r="E446" s="3"/>
      <c r="F446" s="3"/>
      <c r="G446" s="3"/>
      <c r="H446" s="3"/>
    </row>
    <row r="447" spans="4:8" ht="13" x14ac:dyDescent="0.15">
      <c r="D447" s="3"/>
      <c r="E447" s="3"/>
      <c r="F447" s="3"/>
      <c r="G447" s="3"/>
      <c r="H447" s="3"/>
    </row>
    <row r="448" spans="4:8" ht="13" x14ac:dyDescent="0.15">
      <c r="D448" s="3"/>
      <c r="E448" s="3"/>
      <c r="F448" s="3"/>
      <c r="G448" s="3"/>
      <c r="H448" s="3"/>
    </row>
    <row r="449" spans="4:8" ht="13" x14ac:dyDescent="0.15">
      <c r="D449" s="3"/>
      <c r="E449" s="3"/>
      <c r="F449" s="3"/>
      <c r="G449" s="3"/>
      <c r="H449" s="3"/>
    </row>
    <row r="450" spans="4:8" ht="13" x14ac:dyDescent="0.15">
      <c r="D450" s="3"/>
      <c r="E450" s="3"/>
      <c r="F450" s="3"/>
      <c r="G450" s="3"/>
      <c r="H450" s="3"/>
    </row>
    <row r="451" spans="4:8" ht="13" x14ac:dyDescent="0.15">
      <c r="D451" s="3"/>
      <c r="E451" s="3"/>
      <c r="F451" s="3"/>
      <c r="G451" s="3"/>
      <c r="H451" s="3"/>
    </row>
    <row r="452" spans="4:8" ht="13" x14ac:dyDescent="0.15">
      <c r="D452" s="3"/>
      <c r="E452" s="3"/>
      <c r="F452" s="3"/>
      <c r="G452" s="3"/>
      <c r="H452" s="3"/>
    </row>
    <row r="453" spans="4:8" ht="13" x14ac:dyDescent="0.15">
      <c r="D453" s="3"/>
      <c r="E453" s="3"/>
      <c r="F453" s="3"/>
      <c r="G453" s="3"/>
      <c r="H453" s="3"/>
    </row>
    <row r="454" spans="4:8" ht="13" x14ac:dyDescent="0.15">
      <c r="D454" s="3"/>
      <c r="E454" s="3"/>
      <c r="F454" s="3"/>
      <c r="G454" s="3"/>
      <c r="H454" s="3"/>
    </row>
    <row r="455" spans="4:8" ht="13" x14ac:dyDescent="0.15">
      <c r="D455" s="3"/>
      <c r="E455" s="3"/>
      <c r="F455" s="3"/>
      <c r="G455" s="3"/>
      <c r="H455" s="3"/>
    </row>
    <row r="456" spans="4:8" ht="13" x14ac:dyDescent="0.15">
      <c r="D456" s="3"/>
      <c r="E456" s="3"/>
      <c r="F456" s="3"/>
      <c r="G456" s="3"/>
      <c r="H456" s="3"/>
    </row>
    <row r="457" spans="4:8" ht="13" x14ac:dyDescent="0.15">
      <c r="D457" s="3"/>
      <c r="E457" s="3"/>
      <c r="F457" s="3"/>
      <c r="G457" s="3"/>
      <c r="H457" s="3"/>
    </row>
    <row r="458" spans="4:8" ht="13" x14ac:dyDescent="0.15">
      <c r="D458" s="3"/>
      <c r="E458" s="3"/>
      <c r="F458" s="3"/>
      <c r="G458" s="3"/>
      <c r="H458" s="3"/>
    </row>
    <row r="459" spans="4:8" ht="13" x14ac:dyDescent="0.15">
      <c r="D459" s="3"/>
      <c r="E459" s="3"/>
      <c r="F459" s="3"/>
      <c r="G459" s="3"/>
      <c r="H459" s="3"/>
    </row>
    <row r="460" spans="4:8" ht="13" x14ac:dyDescent="0.15">
      <c r="D460" s="3"/>
      <c r="E460" s="3"/>
      <c r="F460" s="3"/>
      <c r="G460" s="3"/>
      <c r="H460" s="3"/>
    </row>
    <row r="461" spans="4:8" ht="13" x14ac:dyDescent="0.15">
      <c r="D461" s="3"/>
      <c r="E461" s="3"/>
      <c r="F461" s="3"/>
      <c r="G461" s="3"/>
      <c r="H461" s="3"/>
    </row>
    <row r="462" spans="4:8" ht="13" x14ac:dyDescent="0.15">
      <c r="D462" s="3"/>
      <c r="E462" s="3"/>
      <c r="F462" s="3"/>
      <c r="G462" s="3"/>
      <c r="H462" s="3"/>
    </row>
    <row r="463" spans="4:8" ht="13" x14ac:dyDescent="0.15">
      <c r="D463" s="3"/>
      <c r="E463" s="3"/>
      <c r="F463" s="3"/>
      <c r="G463" s="3"/>
      <c r="H463" s="3"/>
    </row>
    <row r="464" spans="4:8" ht="13" x14ac:dyDescent="0.15">
      <c r="D464" s="3"/>
      <c r="E464" s="3"/>
      <c r="F464" s="3"/>
      <c r="G464" s="3"/>
      <c r="H464" s="3"/>
    </row>
    <row r="465" spans="4:8" ht="13" x14ac:dyDescent="0.15">
      <c r="D465" s="3"/>
      <c r="E465" s="3"/>
      <c r="F465" s="3"/>
      <c r="G465" s="3"/>
      <c r="H465" s="3"/>
    </row>
    <row r="466" spans="4:8" ht="13" x14ac:dyDescent="0.15">
      <c r="D466" s="3"/>
      <c r="E466" s="3"/>
      <c r="F466" s="3"/>
      <c r="G466" s="3"/>
      <c r="H466" s="3"/>
    </row>
    <row r="467" spans="4:8" ht="13" x14ac:dyDescent="0.15">
      <c r="D467" s="3"/>
      <c r="E467" s="3"/>
      <c r="F467" s="3"/>
      <c r="G467" s="3"/>
      <c r="H467" s="3"/>
    </row>
    <row r="468" spans="4:8" ht="13" x14ac:dyDescent="0.15">
      <c r="D468" s="3"/>
      <c r="E468" s="3"/>
      <c r="F468" s="3"/>
      <c r="G468" s="3"/>
      <c r="H468" s="3"/>
    </row>
    <row r="469" spans="4:8" ht="13" x14ac:dyDescent="0.15">
      <c r="D469" s="3"/>
      <c r="E469" s="3"/>
      <c r="F469" s="3"/>
      <c r="G469" s="3"/>
      <c r="H469" s="3"/>
    </row>
    <row r="470" spans="4:8" ht="13" x14ac:dyDescent="0.15">
      <c r="D470" s="3"/>
      <c r="E470" s="3"/>
      <c r="F470" s="3"/>
      <c r="G470" s="3"/>
      <c r="H470" s="3"/>
    </row>
    <row r="471" spans="4:8" ht="13" x14ac:dyDescent="0.15">
      <c r="D471" s="3"/>
      <c r="E471" s="3"/>
      <c r="F471" s="3"/>
      <c r="G471" s="3"/>
      <c r="H471" s="3"/>
    </row>
    <row r="472" spans="4:8" ht="13" x14ac:dyDescent="0.15">
      <c r="D472" s="3"/>
      <c r="E472" s="3"/>
      <c r="F472" s="3"/>
      <c r="G472" s="3"/>
      <c r="H472" s="3"/>
    </row>
    <row r="473" spans="4:8" ht="13" x14ac:dyDescent="0.15">
      <c r="D473" s="3"/>
      <c r="E473" s="3"/>
      <c r="F473" s="3"/>
      <c r="G473" s="3"/>
      <c r="H473" s="3"/>
    </row>
    <row r="474" spans="4:8" ht="13" x14ac:dyDescent="0.15">
      <c r="D474" s="3"/>
      <c r="E474" s="3"/>
      <c r="F474" s="3"/>
      <c r="G474" s="3"/>
      <c r="H474" s="3"/>
    </row>
    <row r="475" spans="4:8" ht="13" x14ac:dyDescent="0.15">
      <c r="D475" s="3"/>
      <c r="E475" s="3"/>
      <c r="F475" s="3"/>
      <c r="G475" s="3"/>
      <c r="H475" s="3"/>
    </row>
    <row r="476" spans="4:8" ht="13" x14ac:dyDescent="0.15">
      <c r="D476" s="3"/>
      <c r="E476" s="3"/>
      <c r="F476" s="3"/>
      <c r="G476" s="3"/>
      <c r="H476" s="3"/>
    </row>
    <row r="477" spans="4:8" ht="13" x14ac:dyDescent="0.15">
      <c r="D477" s="3"/>
      <c r="E477" s="3"/>
      <c r="F477" s="3"/>
      <c r="G477" s="3"/>
      <c r="H477" s="3"/>
    </row>
    <row r="478" spans="4:8" ht="13" x14ac:dyDescent="0.15">
      <c r="D478" s="3"/>
      <c r="E478" s="3"/>
      <c r="F478" s="3"/>
      <c r="G478" s="3"/>
      <c r="H478" s="3"/>
    </row>
    <row r="479" spans="4:8" ht="13" x14ac:dyDescent="0.15">
      <c r="D479" s="3"/>
      <c r="E479" s="3"/>
      <c r="F479" s="3"/>
      <c r="G479" s="3"/>
      <c r="H479" s="3"/>
    </row>
    <row r="480" spans="4:8" ht="13" x14ac:dyDescent="0.15">
      <c r="D480" s="3"/>
      <c r="E480" s="3"/>
      <c r="F480" s="3"/>
      <c r="G480" s="3"/>
      <c r="H480" s="3"/>
    </row>
    <row r="481" spans="4:8" ht="13" x14ac:dyDescent="0.15">
      <c r="D481" s="3"/>
      <c r="E481" s="3"/>
      <c r="F481" s="3"/>
      <c r="G481" s="3"/>
      <c r="H481" s="3"/>
    </row>
    <row r="482" spans="4:8" ht="13" x14ac:dyDescent="0.15">
      <c r="D482" s="3"/>
      <c r="E482" s="3"/>
      <c r="F482" s="3"/>
      <c r="G482" s="3"/>
      <c r="H482" s="3"/>
    </row>
    <row r="483" spans="4:8" ht="13" x14ac:dyDescent="0.15">
      <c r="D483" s="3"/>
      <c r="E483" s="3"/>
      <c r="F483" s="3"/>
      <c r="G483" s="3"/>
      <c r="H483" s="3"/>
    </row>
    <row r="484" spans="4:8" ht="13" x14ac:dyDescent="0.15">
      <c r="D484" s="3"/>
      <c r="E484" s="3"/>
      <c r="F484" s="3"/>
      <c r="G484" s="3"/>
      <c r="H484" s="3"/>
    </row>
    <row r="485" spans="4:8" ht="13" x14ac:dyDescent="0.15">
      <c r="D485" s="3"/>
      <c r="E485" s="3"/>
      <c r="F485" s="3"/>
      <c r="G485" s="3"/>
      <c r="H485" s="3"/>
    </row>
    <row r="486" spans="4:8" ht="13" x14ac:dyDescent="0.15">
      <c r="D486" s="3"/>
      <c r="E486" s="3"/>
      <c r="F486" s="3"/>
      <c r="G486" s="3"/>
      <c r="H486" s="3"/>
    </row>
    <row r="487" spans="4:8" ht="13" x14ac:dyDescent="0.15">
      <c r="D487" s="3"/>
      <c r="E487" s="3"/>
      <c r="F487" s="3"/>
      <c r="G487" s="3"/>
      <c r="H487" s="3"/>
    </row>
    <row r="488" spans="4:8" ht="13" x14ac:dyDescent="0.15">
      <c r="D488" s="3"/>
      <c r="E488" s="3"/>
      <c r="F488" s="3"/>
      <c r="G488" s="3"/>
      <c r="H488" s="3"/>
    </row>
    <row r="489" spans="4:8" ht="13" x14ac:dyDescent="0.15">
      <c r="D489" s="3"/>
      <c r="E489" s="3"/>
      <c r="F489" s="3"/>
      <c r="G489" s="3"/>
      <c r="H489" s="3"/>
    </row>
    <row r="490" spans="4:8" ht="13" x14ac:dyDescent="0.15">
      <c r="D490" s="3"/>
      <c r="E490" s="3"/>
      <c r="F490" s="3"/>
      <c r="G490" s="3"/>
      <c r="H490" s="3"/>
    </row>
    <row r="491" spans="4:8" ht="13" x14ac:dyDescent="0.15">
      <c r="D491" s="3"/>
      <c r="E491" s="3"/>
      <c r="F491" s="3"/>
      <c r="G491" s="3"/>
      <c r="H491" s="3"/>
    </row>
    <row r="492" spans="4:8" ht="13" x14ac:dyDescent="0.15">
      <c r="D492" s="3"/>
      <c r="E492" s="3"/>
      <c r="F492" s="3"/>
      <c r="G492" s="3"/>
      <c r="H492" s="3"/>
    </row>
    <row r="493" spans="4:8" ht="13" x14ac:dyDescent="0.15">
      <c r="D493" s="3"/>
      <c r="E493" s="3"/>
      <c r="F493" s="3"/>
      <c r="G493" s="3"/>
      <c r="H493" s="3"/>
    </row>
    <row r="494" spans="4:8" ht="13" x14ac:dyDescent="0.15">
      <c r="D494" s="3"/>
      <c r="E494" s="3"/>
      <c r="F494" s="3"/>
      <c r="G494" s="3"/>
      <c r="H494" s="3"/>
    </row>
    <row r="495" spans="4:8" ht="13" x14ac:dyDescent="0.15">
      <c r="D495" s="3"/>
      <c r="E495" s="3"/>
      <c r="F495" s="3"/>
      <c r="G495" s="3"/>
      <c r="H495" s="3"/>
    </row>
    <row r="496" spans="4:8" ht="13" x14ac:dyDescent="0.15">
      <c r="D496" s="3"/>
      <c r="E496" s="3"/>
      <c r="F496" s="3"/>
      <c r="G496" s="3"/>
      <c r="H496" s="3"/>
    </row>
    <row r="497" spans="4:8" ht="13" x14ac:dyDescent="0.15">
      <c r="D497" s="3"/>
      <c r="E497" s="3"/>
      <c r="F497" s="3"/>
      <c r="G497" s="3"/>
      <c r="H497" s="3"/>
    </row>
    <row r="498" spans="4:8" ht="13" x14ac:dyDescent="0.15">
      <c r="D498" s="3"/>
      <c r="E498" s="3"/>
      <c r="F498" s="3"/>
      <c r="G498" s="3"/>
      <c r="H498" s="3"/>
    </row>
    <row r="499" spans="4:8" ht="13" x14ac:dyDescent="0.15">
      <c r="D499" s="3"/>
      <c r="E499" s="3"/>
      <c r="F499" s="3"/>
      <c r="G499" s="3"/>
      <c r="H499" s="3"/>
    </row>
    <row r="500" spans="4:8" ht="13" x14ac:dyDescent="0.15">
      <c r="D500" s="3"/>
      <c r="E500" s="3"/>
      <c r="F500" s="3"/>
      <c r="G500" s="3"/>
      <c r="H500" s="3"/>
    </row>
    <row r="501" spans="4:8" ht="13" x14ac:dyDescent="0.15">
      <c r="D501" s="3"/>
      <c r="E501" s="3"/>
      <c r="F501" s="3"/>
      <c r="G501" s="3"/>
      <c r="H501" s="3"/>
    </row>
    <row r="502" spans="4:8" ht="13" x14ac:dyDescent="0.15">
      <c r="D502" s="3"/>
      <c r="E502" s="3"/>
      <c r="F502" s="3"/>
      <c r="G502" s="3"/>
      <c r="H502" s="3"/>
    </row>
    <row r="503" spans="4:8" ht="13" x14ac:dyDescent="0.15">
      <c r="D503" s="3"/>
      <c r="E503" s="3"/>
      <c r="F503" s="3"/>
      <c r="G503" s="3"/>
      <c r="H503" s="3"/>
    </row>
    <row r="504" spans="4:8" ht="13" x14ac:dyDescent="0.15">
      <c r="D504" s="3"/>
      <c r="E504" s="3"/>
      <c r="F504" s="3"/>
      <c r="G504" s="3"/>
      <c r="H504" s="3"/>
    </row>
    <row r="505" spans="4:8" ht="13" x14ac:dyDescent="0.15">
      <c r="D505" s="3"/>
      <c r="E505" s="3"/>
      <c r="F505" s="3"/>
      <c r="G505" s="3"/>
      <c r="H505" s="3"/>
    </row>
    <row r="506" spans="4:8" ht="13" x14ac:dyDescent="0.15">
      <c r="D506" s="3"/>
      <c r="E506" s="3"/>
      <c r="F506" s="3"/>
      <c r="G506" s="3"/>
      <c r="H506" s="3"/>
    </row>
    <row r="507" spans="4:8" ht="13" x14ac:dyDescent="0.15">
      <c r="D507" s="3"/>
      <c r="E507" s="3"/>
      <c r="F507" s="3"/>
      <c r="G507" s="3"/>
      <c r="H507" s="3"/>
    </row>
    <row r="508" spans="4:8" ht="13" x14ac:dyDescent="0.15">
      <c r="D508" s="3"/>
      <c r="E508" s="3"/>
      <c r="F508" s="3"/>
      <c r="G508" s="3"/>
      <c r="H508" s="3"/>
    </row>
    <row r="509" spans="4:8" ht="13" x14ac:dyDescent="0.15">
      <c r="D509" s="3"/>
      <c r="E509" s="3"/>
      <c r="F509" s="3"/>
      <c r="G509" s="3"/>
      <c r="H509" s="3"/>
    </row>
    <row r="510" spans="4:8" ht="13" x14ac:dyDescent="0.15">
      <c r="D510" s="3"/>
      <c r="E510" s="3"/>
      <c r="F510" s="3"/>
      <c r="G510" s="3"/>
      <c r="H510" s="3"/>
    </row>
    <row r="511" spans="4:8" ht="13" x14ac:dyDescent="0.15">
      <c r="D511" s="3"/>
      <c r="E511" s="3"/>
      <c r="F511" s="3"/>
      <c r="G511" s="3"/>
      <c r="H511" s="3"/>
    </row>
    <row r="512" spans="4:8" ht="13" x14ac:dyDescent="0.15">
      <c r="D512" s="3"/>
      <c r="E512" s="3"/>
      <c r="F512" s="3"/>
      <c r="G512" s="3"/>
      <c r="H512" s="3"/>
    </row>
    <row r="513" spans="4:8" ht="13" x14ac:dyDescent="0.15">
      <c r="D513" s="3"/>
      <c r="E513" s="3"/>
      <c r="F513" s="3"/>
      <c r="G513" s="3"/>
      <c r="H513" s="3"/>
    </row>
    <row r="514" spans="4:8" ht="13" x14ac:dyDescent="0.15">
      <c r="D514" s="3"/>
      <c r="E514" s="3"/>
      <c r="F514" s="3"/>
      <c r="G514" s="3"/>
      <c r="H514" s="3"/>
    </row>
    <row r="515" spans="4:8" ht="13" x14ac:dyDescent="0.15">
      <c r="D515" s="3"/>
      <c r="E515" s="3"/>
      <c r="F515" s="3"/>
      <c r="G515" s="3"/>
      <c r="H515" s="3"/>
    </row>
    <row r="516" spans="4:8" ht="13" x14ac:dyDescent="0.15">
      <c r="D516" s="3"/>
      <c r="E516" s="3"/>
      <c r="F516" s="3"/>
      <c r="G516" s="3"/>
      <c r="H516" s="3"/>
    </row>
    <row r="517" spans="4:8" ht="13" x14ac:dyDescent="0.15">
      <c r="D517" s="3"/>
      <c r="E517" s="3"/>
      <c r="F517" s="3"/>
      <c r="G517" s="3"/>
      <c r="H517" s="3"/>
    </row>
    <row r="518" spans="4:8" ht="13" x14ac:dyDescent="0.15">
      <c r="D518" s="3"/>
      <c r="E518" s="3"/>
      <c r="F518" s="3"/>
      <c r="G518" s="3"/>
      <c r="H518" s="3"/>
    </row>
    <row r="519" spans="4:8" ht="13" x14ac:dyDescent="0.15">
      <c r="D519" s="3"/>
      <c r="E519" s="3"/>
      <c r="F519" s="3"/>
      <c r="G519" s="3"/>
      <c r="H519" s="3"/>
    </row>
    <row r="520" spans="4:8" ht="13" x14ac:dyDescent="0.15">
      <c r="D520" s="3"/>
      <c r="E520" s="3"/>
      <c r="F520" s="3"/>
      <c r="G520" s="3"/>
      <c r="H520" s="3"/>
    </row>
    <row r="521" spans="4:8" ht="13" x14ac:dyDescent="0.15">
      <c r="D521" s="3"/>
      <c r="E521" s="3"/>
      <c r="F521" s="3"/>
      <c r="G521" s="3"/>
      <c r="H521" s="3"/>
    </row>
    <row r="522" spans="4:8" ht="13" x14ac:dyDescent="0.15">
      <c r="D522" s="3"/>
      <c r="E522" s="3"/>
      <c r="F522" s="3"/>
      <c r="G522" s="3"/>
      <c r="H522" s="3"/>
    </row>
    <row r="523" spans="4:8" ht="13" x14ac:dyDescent="0.15">
      <c r="D523" s="3"/>
      <c r="E523" s="3"/>
      <c r="F523" s="3"/>
      <c r="G523" s="3"/>
      <c r="H523" s="3"/>
    </row>
    <row r="524" spans="4:8" ht="13" x14ac:dyDescent="0.15">
      <c r="D524" s="3"/>
      <c r="E524" s="3"/>
      <c r="F524" s="3"/>
      <c r="G524" s="3"/>
      <c r="H524" s="3"/>
    </row>
    <row r="525" spans="4:8" ht="13" x14ac:dyDescent="0.15">
      <c r="D525" s="3"/>
      <c r="E525" s="3"/>
      <c r="F525" s="3"/>
      <c r="G525" s="3"/>
      <c r="H525" s="3"/>
    </row>
    <row r="526" spans="4:8" ht="13" x14ac:dyDescent="0.15">
      <c r="D526" s="3"/>
      <c r="E526" s="3"/>
      <c r="F526" s="3"/>
      <c r="G526" s="3"/>
      <c r="H526" s="3"/>
    </row>
    <row r="527" spans="4:8" ht="13" x14ac:dyDescent="0.15">
      <c r="D527" s="3"/>
      <c r="E527" s="3"/>
      <c r="F527" s="3"/>
      <c r="G527" s="3"/>
      <c r="H527" s="3"/>
    </row>
    <row r="528" spans="4:8" ht="13" x14ac:dyDescent="0.15">
      <c r="D528" s="3"/>
      <c r="E528" s="3"/>
      <c r="F528" s="3"/>
      <c r="G528" s="3"/>
      <c r="H528" s="3"/>
    </row>
    <row r="529" spans="4:8" ht="13" x14ac:dyDescent="0.15">
      <c r="D529" s="3"/>
      <c r="E529" s="3"/>
      <c r="F529" s="3"/>
      <c r="G529" s="3"/>
      <c r="H529" s="3"/>
    </row>
    <row r="530" spans="4:8" ht="13" x14ac:dyDescent="0.15">
      <c r="D530" s="3"/>
      <c r="E530" s="3"/>
      <c r="F530" s="3"/>
      <c r="G530" s="3"/>
      <c r="H530" s="3"/>
    </row>
    <row r="531" spans="4:8" ht="13" x14ac:dyDescent="0.15">
      <c r="D531" s="3"/>
      <c r="E531" s="3"/>
      <c r="F531" s="3"/>
      <c r="G531" s="3"/>
      <c r="H531" s="3"/>
    </row>
    <row r="532" spans="4:8" ht="13" x14ac:dyDescent="0.15">
      <c r="D532" s="3"/>
      <c r="E532" s="3"/>
      <c r="F532" s="3"/>
      <c r="G532" s="3"/>
      <c r="H532" s="3"/>
    </row>
    <row r="533" spans="4:8" ht="13" x14ac:dyDescent="0.15">
      <c r="D533" s="3"/>
      <c r="E533" s="3"/>
      <c r="F533" s="3"/>
      <c r="G533" s="3"/>
      <c r="H533" s="3"/>
    </row>
    <row r="534" spans="4:8" ht="13" x14ac:dyDescent="0.15">
      <c r="D534" s="3"/>
      <c r="E534" s="3"/>
      <c r="F534" s="3"/>
      <c r="G534" s="3"/>
      <c r="H534" s="3"/>
    </row>
    <row r="535" spans="4:8" ht="13" x14ac:dyDescent="0.15">
      <c r="D535" s="3"/>
      <c r="E535" s="3"/>
      <c r="F535" s="3"/>
      <c r="G535" s="3"/>
      <c r="H535" s="3"/>
    </row>
    <row r="536" spans="4:8" ht="13" x14ac:dyDescent="0.15">
      <c r="D536" s="3"/>
      <c r="E536" s="3"/>
      <c r="F536" s="3"/>
      <c r="G536" s="3"/>
      <c r="H536" s="3"/>
    </row>
    <row r="537" spans="4:8" ht="13" x14ac:dyDescent="0.15">
      <c r="D537" s="3"/>
      <c r="E537" s="3"/>
      <c r="F537" s="3"/>
      <c r="G537" s="3"/>
      <c r="H537" s="3"/>
    </row>
    <row r="538" spans="4:8" ht="13" x14ac:dyDescent="0.15">
      <c r="D538" s="3"/>
      <c r="E538" s="3"/>
      <c r="F538" s="3"/>
      <c r="G538" s="3"/>
      <c r="H538" s="3"/>
    </row>
    <row r="539" spans="4:8" ht="13" x14ac:dyDescent="0.15">
      <c r="D539" s="3"/>
      <c r="E539" s="3"/>
      <c r="F539" s="3"/>
      <c r="G539" s="3"/>
      <c r="H539" s="3"/>
    </row>
    <row r="540" spans="4:8" ht="13" x14ac:dyDescent="0.15">
      <c r="D540" s="3"/>
      <c r="E540" s="3"/>
      <c r="F540" s="3"/>
      <c r="G540" s="3"/>
      <c r="H540" s="3"/>
    </row>
    <row r="541" spans="4:8" ht="13" x14ac:dyDescent="0.15">
      <c r="D541" s="3"/>
      <c r="E541" s="3"/>
      <c r="F541" s="3"/>
      <c r="G541" s="3"/>
      <c r="H541" s="3"/>
    </row>
    <row r="542" spans="4:8" ht="13" x14ac:dyDescent="0.15">
      <c r="D542" s="3"/>
      <c r="E542" s="3"/>
      <c r="F542" s="3"/>
      <c r="G542" s="3"/>
      <c r="H542" s="3"/>
    </row>
    <row r="543" spans="4:8" ht="13" x14ac:dyDescent="0.15">
      <c r="D543" s="3"/>
      <c r="E543" s="3"/>
      <c r="F543" s="3"/>
      <c r="G543" s="3"/>
      <c r="H543" s="3"/>
    </row>
    <row r="544" spans="4:8" ht="13" x14ac:dyDescent="0.15">
      <c r="D544" s="3"/>
      <c r="E544" s="3"/>
      <c r="F544" s="3"/>
      <c r="G544" s="3"/>
      <c r="H544" s="3"/>
    </row>
    <row r="545" spans="4:8" ht="13" x14ac:dyDescent="0.15">
      <c r="D545" s="3"/>
      <c r="E545" s="3"/>
      <c r="F545" s="3"/>
      <c r="G545" s="3"/>
      <c r="H545" s="3"/>
    </row>
    <row r="546" spans="4:8" ht="13" x14ac:dyDescent="0.15">
      <c r="D546" s="3"/>
      <c r="E546" s="3"/>
      <c r="F546" s="3"/>
      <c r="G546" s="3"/>
      <c r="H546" s="3"/>
    </row>
    <row r="547" spans="4:8" ht="13" x14ac:dyDescent="0.15">
      <c r="D547" s="3"/>
      <c r="E547" s="3"/>
      <c r="F547" s="3"/>
      <c r="G547" s="3"/>
      <c r="H547" s="3"/>
    </row>
    <row r="548" spans="4:8" ht="13" x14ac:dyDescent="0.15">
      <c r="D548" s="3"/>
      <c r="E548" s="3"/>
      <c r="F548" s="3"/>
      <c r="G548" s="3"/>
      <c r="H548" s="3"/>
    </row>
    <row r="549" spans="4:8" ht="13" x14ac:dyDescent="0.15">
      <c r="D549" s="3"/>
      <c r="E549" s="3"/>
      <c r="F549" s="3"/>
      <c r="G549" s="3"/>
      <c r="H549" s="3"/>
    </row>
    <row r="550" spans="4:8" ht="13" x14ac:dyDescent="0.15">
      <c r="D550" s="3"/>
      <c r="E550" s="3"/>
      <c r="F550" s="3"/>
      <c r="G550" s="3"/>
      <c r="H550" s="3"/>
    </row>
    <row r="551" spans="4:8" ht="13" x14ac:dyDescent="0.15">
      <c r="D551" s="3"/>
      <c r="E551" s="3"/>
      <c r="F551" s="3"/>
      <c r="G551" s="3"/>
      <c r="H551" s="3"/>
    </row>
    <row r="552" spans="4:8" ht="13" x14ac:dyDescent="0.15">
      <c r="D552" s="3"/>
      <c r="E552" s="3"/>
      <c r="F552" s="3"/>
      <c r="G552" s="3"/>
      <c r="H552" s="3"/>
    </row>
    <row r="553" spans="4:8" ht="13" x14ac:dyDescent="0.15">
      <c r="D553" s="3"/>
      <c r="E553" s="3"/>
      <c r="F553" s="3"/>
      <c r="G553" s="3"/>
      <c r="H553" s="3"/>
    </row>
    <row r="554" spans="4:8" ht="13" x14ac:dyDescent="0.15">
      <c r="D554" s="3"/>
      <c r="E554" s="3"/>
      <c r="F554" s="3"/>
      <c r="G554" s="3"/>
      <c r="H554" s="3"/>
    </row>
    <row r="555" spans="4:8" ht="13" x14ac:dyDescent="0.15">
      <c r="D555" s="3"/>
      <c r="E555" s="3"/>
      <c r="F555" s="3"/>
      <c r="G555" s="3"/>
      <c r="H555" s="3"/>
    </row>
    <row r="556" spans="4:8" ht="13" x14ac:dyDescent="0.15">
      <c r="D556" s="3"/>
      <c r="E556" s="3"/>
      <c r="F556" s="3"/>
      <c r="G556" s="3"/>
      <c r="H556" s="3"/>
    </row>
    <row r="557" spans="4:8" ht="13" x14ac:dyDescent="0.15">
      <c r="D557" s="3"/>
      <c r="E557" s="3"/>
      <c r="F557" s="3"/>
      <c r="G557" s="3"/>
      <c r="H557" s="3"/>
    </row>
    <row r="558" spans="4:8" ht="13" x14ac:dyDescent="0.15">
      <c r="D558" s="3"/>
      <c r="E558" s="3"/>
      <c r="F558" s="3"/>
      <c r="G558" s="3"/>
      <c r="H558" s="3"/>
    </row>
    <row r="559" spans="4:8" ht="13" x14ac:dyDescent="0.15">
      <c r="D559" s="3"/>
      <c r="E559" s="3"/>
      <c r="F559" s="3"/>
      <c r="G559" s="3"/>
      <c r="H559" s="3"/>
    </row>
    <row r="560" spans="4:8" ht="13" x14ac:dyDescent="0.15">
      <c r="D560" s="3"/>
      <c r="E560" s="3"/>
      <c r="F560" s="3"/>
      <c r="G560" s="3"/>
      <c r="H560" s="3"/>
    </row>
    <row r="561" spans="4:8" ht="13" x14ac:dyDescent="0.15">
      <c r="D561" s="3"/>
      <c r="E561" s="3"/>
      <c r="F561" s="3"/>
      <c r="G561" s="3"/>
      <c r="H561" s="3"/>
    </row>
    <row r="562" spans="4:8" ht="13" x14ac:dyDescent="0.15">
      <c r="D562" s="3"/>
      <c r="E562" s="3"/>
      <c r="F562" s="3"/>
      <c r="G562" s="3"/>
      <c r="H562" s="3"/>
    </row>
    <row r="563" spans="4:8" ht="13" x14ac:dyDescent="0.15">
      <c r="D563" s="3"/>
      <c r="E563" s="3"/>
      <c r="F563" s="3"/>
      <c r="G563" s="3"/>
      <c r="H563" s="3"/>
    </row>
    <row r="564" spans="4:8" ht="13" x14ac:dyDescent="0.15">
      <c r="D564" s="3"/>
      <c r="E564" s="3"/>
      <c r="F564" s="3"/>
      <c r="G564" s="3"/>
      <c r="H564" s="3"/>
    </row>
    <row r="565" spans="4:8" ht="13" x14ac:dyDescent="0.15">
      <c r="D565" s="3"/>
      <c r="E565" s="3"/>
      <c r="F565" s="3"/>
      <c r="G565" s="3"/>
      <c r="H565" s="3"/>
    </row>
    <row r="566" spans="4:8" ht="13" x14ac:dyDescent="0.15">
      <c r="D566" s="3"/>
      <c r="E566" s="3"/>
      <c r="F566" s="3"/>
      <c r="G566" s="3"/>
      <c r="H566" s="3"/>
    </row>
    <row r="567" spans="4:8" ht="13" x14ac:dyDescent="0.15">
      <c r="D567" s="3"/>
      <c r="E567" s="3"/>
      <c r="F567" s="3"/>
      <c r="G567" s="3"/>
      <c r="H567" s="3"/>
    </row>
    <row r="568" spans="4:8" ht="13" x14ac:dyDescent="0.15">
      <c r="D568" s="3"/>
      <c r="E568" s="3"/>
      <c r="F568" s="3"/>
      <c r="G568" s="3"/>
      <c r="H568" s="3"/>
    </row>
    <row r="569" spans="4:8" ht="13" x14ac:dyDescent="0.15">
      <c r="D569" s="3"/>
      <c r="E569" s="3"/>
      <c r="F569" s="3"/>
      <c r="G569" s="3"/>
      <c r="H569" s="3"/>
    </row>
    <row r="570" spans="4:8" ht="13" x14ac:dyDescent="0.15">
      <c r="D570" s="3"/>
      <c r="E570" s="3"/>
      <c r="F570" s="3"/>
      <c r="G570" s="3"/>
      <c r="H570" s="3"/>
    </row>
    <row r="571" spans="4:8" ht="13" x14ac:dyDescent="0.15">
      <c r="D571" s="3"/>
      <c r="E571" s="3"/>
      <c r="F571" s="3"/>
      <c r="G571" s="3"/>
      <c r="H571" s="3"/>
    </row>
    <row r="572" spans="4:8" ht="13" x14ac:dyDescent="0.15">
      <c r="D572" s="3"/>
      <c r="E572" s="3"/>
      <c r="F572" s="3"/>
      <c r="G572" s="3"/>
      <c r="H572" s="3"/>
    </row>
    <row r="573" spans="4:8" ht="13" x14ac:dyDescent="0.15">
      <c r="D573" s="3"/>
      <c r="E573" s="3"/>
      <c r="F573" s="3"/>
      <c r="G573" s="3"/>
      <c r="H573" s="3"/>
    </row>
    <row r="574" spans="4:8" ht="13" x14ac:dyDescent="0.15">
      <c r="D574" s="3"/>
      <c r="E574" s="3"/>
      <c r="F574" s="3"/>
      <c r="G574" s="3"/>
      <c r="H574" s="3"/>
    </row>
    <row r="575" spans="4:8" ht="13" x14ac:dyDescent="0.15">
      <c r="D575" s="3"/>
      <c r="E575" s="3"/>
      <c r="F575" s="3"/>
      <c r="G575" s="3"/>
      <c r="H575" s="3"/>
    </row>
    <row r="576" spans="4:8" ht="13" x14ac:dyDescent="0.15">
      <c r="D576" s="3"/>
      <c r="E576" s="3"/>
      <c r="F576" s="3"/>
      <c r="G576" s="3"/>
      <c r="H576" s="3"/>
    </row>
    <row r="577" spans="4:8" ht="13" x14ac:dyDescent="0.15">
      <c r="D577" s="3"/>
      <c r="E577" s="3"/>
      <c r="F577" s="3"/>
      <c r="G577" s="3"/>
      <c r="H577" s="3"/>
    </row>
    <row r="578" spans="4:8" ht="13" x14ac:dyDescent="0.15">
      <c r="D578" s="3"/>
      <c r="E578" s="3"/>
      <c r="F578" s="3"/>
      <c r="G578" s="3"/>
      <c r="H578" s="3"/>
    </row>
    <row r="579" spans="4:8" ht="13" x14ac:dyDescent="0.15">
      <c r="D579" s="3"/>
      <c r="E579" s="3"/>
      <c r="F579" s="3"/>
      <c r="G579" s="3"/>
      <c r="H579" s="3"/>
    </row>
    <row r="580" spans="4:8" ht="13" x14ac:dyDescent="0.15">
      <c r="D580" s="3"/>
      <c r="E580" s="3"/>
      <c r="F580" s="3"/>
      <c r="G580" s="3"/>
      <c r="H580" s="3"/>
    </row>
    <row r="581" spans="4:8" ht="13" x14ac:dyDescent="0.15">
      <c r="D581" s="3"/>
      <c r="E581" s="3"/>
      <c r="F581" s="3"/>
      <c r="G581" s="3"/>
      <c r="H581" s="3"/>
    </row>
    <row r="582" spans="4:8" ht="13" x14ac:dyDescent="0.15">
      <c r="D582" s="3"/>
      <c r="E582" s="3"/>
      <c r="F582" s="3"/>
      <c r="G582" s="3"/>
      <c r="H582" s="3"/>
    </row>
    <row r="583" spans="4:8" ht="13" x14ac:dyDescent="0.15">
      <c r="D583" s="3"/>
      <c r="E583" s="3"/>
      <c r="F583" s="3"/>
      <c r="G583" s="3"/>
      <c r="H583" s="3"/>
    </row>
    <row r="584" spans="4:8" ht="13" x14ac:dyDescent="0.15">
      <c r="D584" s="3"/>
      <c r="E584" s="3"/>
      <c r="F584" s="3"/>
      <c r="G584" s="3"/>
      <c r="H584" s="3"/>
    </row>
    <row r="585" spans="4:8" ht="13" x14ac:dyDescent="0.15">
      <c r="D585" s="3"/>
      <c r="E585" s="3"/>
      <c r="F585" s="3"/>
      <c r="G585" s="3"/>
      <c r="H585" s="3"/>
    </row>
    <row r="586" spans="4:8" ht="13" x14ac:dyDescent="0.15">
      <c r="D586" s="3"/>
      <c r="E586" s="3"/>
      <c r="F586" s="3"/>
      <c r="G586" s="3"/>
      <c r="H586" s="3"/>
    </row>
    <row r="587" spans="4:8" ht="13" x14ac:dyDescent="0.15">
      <c r="D587" s="3"/>
      <c r="E587" s="3"/>
      <c r="F587" s="3"/>
      <c r="G587" s="3"/>
      <c r="H587" s="3"/>
    </row>
    <row r="588" spans="4:8" ht="13" x14ac:dyDescent="0.15">
      <c r="D588" s="3"/>
      <c r="E588" s="3"/>
      <c r="F588" s="3"/>
      <c r="G588" s="3"/>
      <c r="H588" s="3"/>
    </row>
    <row r="589" spans="4:8" ht="13" x14ac:dyDescent="0.15">
      <c r="D589" s="3"/>
      <c r="E589" s="3"/>
      <c r="F589" s="3"/>
      <c r="G589" s="3"/>
      <c r="H589" s="3"/>
    </row>
    <row r="590" spans="4:8" ht="13" x14ac:dyDescent="0.15">
      <c r="D590" s="3"/>
      <c r="E590" s="3"/>
      <c r="F590" s="3"/>
      <c r="G590" s="3"/>
      <c r="H590" s="3"/>
    </row>
    <row r="591" spans="4:8" ht="13" x14ac:dyDescent="0.15">
      <c r="D591" s="3"/>
      <c r="E591" s="3"/>
      <c r="F591" s="3"/>
      <c r="G591" s="3"/>
      <c r="H591" s="3"/>
    </row>
    <row r="592" spans="4:8" ht="13" x14ac:dyDescent="0.15">
      <c r="D592" s="3"/>
      <c r="E592" s="3"/>
      <c r="F592" s="3"/>
      <c r="G592" s="3"/>
      <c r="H592" s="3"/>
    </row>
    <row r="593" spans="4:8" ht="13" x14ac:dyDescent="0.15">
      <c r="D593" s="3"/>
      <c r="E593" s="3"/>
      <c r="F593" s="3"/>
      <c r="G593" s="3"/>
      <c r="H593" s="3"/>
    </row>
    <row r="594" spans="4:8" ht="13" x14ac:dyDescent="0.15">
      <c r="D594" s="3"/>
      <c r="E594" s="3"/>
      <c r="F594" s="3"/>
      <c r="G594" s="3"/>
      <c r="H594" s="3"/>
    </row>
    <row r="595" spans="4:8" ht="13" x14ac:dyDescent="0.15">
      <c r="D595" s="3"/>
      <c r="E595" s="3"/>
      <c r="F595" s="3"/>
      <c r="G595" s="3"/>
      <c r="H595" s="3"/>
    </row>
    <row r="596" spans="4:8" ht="13" x14ac:dyDescent="0.15">
      <c r="D596" s="3"/>
      <c r="E596" s="3"/>
      <c r="F596" s="3"/>
      <c r="G596" s="3"/>
      <c r="H596" s="3"/>
    </row>
    <row r="597" spans="4:8" ht="13" x14ac:dyDescent="0.15">
      <c r="D597" s="3"/>
      <c r="E597" s="3"/>
      <c r="F597" s="3"/>
      <c r="G597" s="3"/>
      <c r="H597" s="3"/>
    </row>
    <row r="598" spans="4:8" ht="13" x14ac:dyDescent="0.15">
      <c r="D598" s="3"/>
      <c r="E598" s="3"/>
      <c r="F598" s="3"/>
      <c r="G598" s="3"/>
      <c r="H598" s="3"/>
    </row>
    <row r="599" spans="4:8" ht="13" x14ac:dyDescent="0.15">
      <c r="D599" s="3"/>
      <c r="E599" s="3"/>
      <c r="F599" s="3"/>
      <c r="G599" s="3"/>
      <c r="H599" s="3"/>
    </row>
    <row r="600" spans="4:8" ht="13" x14ac:dyDescent="0.15">
      <c r="D600" s="3"/>
      <c r="E600" s="3"/>
      <c r="F600" s="3"/>
      <c r="G600" s="3"/>
      <c r="H600" s="3"/>
    </row>
    <row r="601" spans="4:8" ht="13" x14ac:dyDescent="0.15">
      <c r="D601" s="3"/>
      <c r="E601" s="3"/>
      <c r="F601" s="3"/>
      <c r="G601" s="3"/>
      <c r="H601" s="3"/>
    </row>
    <row r="602" spans="4:8" ht="13" x14ac:dyDescent="0.15">
      <c r="D602" s="3"/>
      <c r="E602" s="3"/>
      <c r="F602" s="3"/>
      <c r="G602" s="3"/>
      <c r="H602" s="3"/>
    </row>
    <row r="603" spans="4:8" ht="13" x14ac:dyDescent="0.15">
      <c r="D603" s="3"/>
      <c r="E603" s="3"/>
      <c r="F603" s="3"/>
      <c r="G603" s="3"/>
      <c r="H603" s="3"/>
    </row>
    <row r="604" spans="4:8" ht="13" x14ac:dyDescent="0.15">
      <c r="D604" s="3"/>
      <c r="E604" s="3"/>
      <c r="F604" s="3"/>
      <c r="G604" s="3"/>
      <c r="H604" s="3"/>
    </row>
    <row r="605" spans="4:8" ht="13" x14ac:dyDescent="0.15">
      <c r="D605" s="3"/>
      <c r="E605" s="3"/>
      <c r="F605" s="3"/>
      <c r="G605" s="3"/>
      <c r="H605" s="3"/>
    </row>
    <row r="606" spans="4:8" ht="13" x14ac:dyDescent="0.15">
      <c r="D606" s="3"/>
      <c r="E606" s="3"/>
      <c r="F606" s="3"/>
      <c r="G606" s="3"/>
      <c r="H606" s="3"/>
    </row>
    <row r="607" spans="4:8" ht="13" x14ac:dyDescent="0.15">
      <c r="D607" s="3"/>
      <c r="E607" s="3"/>
      <c r="F607" s="3"/>
      <c r="G607" s="3"/>
      <c r="H607" s="3"/>
    </row>
    <row r="608" spans="4:8" ht="13" x14ac:dyDescent="0.15">
      <c r="D608" s="3"/>
      <c r="E608" s="3"/>
      <c r="F608" s="3"/>
      <c r="G608" s="3"/>
      <c r="H608" s="3"/>
    </row>
    <row r="609" spans="4:8" ht="13" x14ac:dyDescent="0.15">
      <c r="D609" s="3"/>
      <c r="E609" s="3"/>
      <c r="F609" s="3"/>
      <c r="G609" s="3"/>
      <c r="H609" s="3"/>
    </row>
    <row r="610" spans="4:8" ht="13" x14ac:dyDescent="0.15">
      <c r="D610" s="3"/>
      <c r="E610" s="3"/>
      <c r="F610" s="3"/>
      <c r="G610" s="3"/>
      <c r="H610" s="3"/>
    </row>
    <row r="611" spans="4:8" ht="13" x14ac:dyDescent="0.15">
      <c r="D611" s="3"/>
      <c r="E611" s="3"/>
      <c r="F611" s="3"/>
      <c r="G611" s="3"/>
      <c r="H611" s="3"/>
    </row>
    <row r="612" spans="4:8" ht="13" x14ac:dyDescent="0.15">
      <c r="D612" s="3"/>
      <c r="E612" s="3"/>
      <c r="F612" s="3"/>
      <c r="G612" s="3"/>
      <c r="H612" s="3"/>
    </row>
    <row r="613" spans="4:8" ht="13" x14ac:dyDescent="0.15">
      <c r="D613" s="3"/>
      <c r="E613" s="3"/>
      <c r="F613" s="3"/>
      <c r="G613" s="3"/>
      <c r="H613" s="3"/>
    </row>
    <row r="614" spans="4:8" ht="13" x14ac:dyDescent="0.15">
      <c r="D614" s="3"/>
      <c r="E614" s="3"/>
      <c r="F614" s="3"/>
      <c r="G614" s="3"/>
      <c r="H614" s="3"/>
    </row>
    <row r="615" spans="4:8" ht="13" x14ac:dyDescent="0.15">
      <c r="D615" s="3"/>
      <c r="E615" s="3"/>
      <c r="F615" s="3"/>
      <c r="G615" s="3"/>
      <c r="H615" s="3"/>
    </row>
    <row r="616" spans="4:8" ht="13" x14ac:dyDescent="0.15">
      <c r="D616" s="3"/>
      <c r="E616" s="3"/>
      <c r="F616" s="3"/>
      <c r="G616" s="3"/>
      <c r="H616" s="3"/>
    </row>
    <row r="617" spans="4:8" ht="13" x14ac:dyDescent="0.15">
      <c r="D617" s="3"/>
      <c r="E617" s="3"/>
      <c r="F617" s="3"/>
      <c r="G617" s="3"/>
      <c r="H617" s="3"/>
    </row>
    <row r="618" spans="4:8" ht="13" x14ac:dyDescent="0.15">
      <c r="D618" s="3"/>
      <c r="E618" s="3"/>
      <c r="F618" s="3"/>
      <c r="G618" s="3"/>
      <c r="H618" s="3"/>
    </row>
    <row r="619" spans="4:8" ht="13" x14ac:dyDescent="0.15">
      <c r="D619" s="3"/>
      <c r="E619" s="3"/>
      <c r="F619" s="3"/>
      <c r="G619" s="3"/>
      <c r="H619" s="3"/>
    </row>
    <row r="620" spans="4:8" ht="13" x14ac:dyDescent="0.15">
      <c r="D620" s="3"/>
      <c r="E620" s="3"/>
      <c r="F620" s="3"/>
      <c r="G620" s="3"/>
      <c r="H620" s="3"/>
    </row>
    <row r="621" spans="4:8" ht="13" x14ac:dyDescent="0.15">
      <c r="D621" s="3"/>
      <c r="E621" s="3"/>
      <c r="F621" s="3"/>
      <c r="G621" s="3"/>
      <c r="H621" s="3"/>
    </row>
    <row r="622" spans="4:8" ht="13" x14ac:dyDescent="0.15">
      <c r="D622" s="3"/>
      <c r="E622" s="3"/>
      <c r="F622" s="3"/>
      <c r="G622" s="3"/>
      <c r="H622" s="3"/>
    </row>
    <row r="623" spans="4:8" ht="13" x14ac:dyDescent="0.15">
      <c r="D623" s="3"/>
      <c r="E623" s="3"/>
      <c r="F623" s="3"/>
      <c r="G623" s="3"/>
      <c r="H623" s="3"/>
    </row>
    <row r="624" spans="4:8" ht="13" x14ac:dyDescent="0.15">
      <c r="D624" s="3"/>
      <c r="E624" s="3"/>
      <c r="F624" s="3"/>
      <c r="G624" s="3"/>
      <c r="H624" s="3"/>
    </row>
    <row r="625" spans="4:8" ht="13" x14ac:dyDescent="0.15">
      <c r="D625" s="3"/>
      <c r="E625" s="3"/>
      <c r="F625" s="3"/>
      <c r="G625" s="3"/>
      <c r="H625" s="3"/>
    </row>
    <row r="626" spans="4:8" ht="13" x14ac:dyDescent="0.15">
      <c r="D626" s="3"/>
      <c r="E626" s="3"/>
      <c r="F626" s="3"/>
      <c r="G626" s="3"/>
      <c r="H626" s="3"/>
    </row>
    <row r="627" spans="4:8" ht="13" x14ac:dyDescent="0.15">
      <c r="D627" s="3"/>
      <c r="E627" s="3"/>
      <c r="F627" s="3"/>
      <c r="G627" s="3"/>
      <c r="H627" s="3"/>
    </row>
    <row r="628" spans="4:8" ht="13" x14ac:dyDescent="0.15">
      <c r="D628" s="3"/>
      <c r="E628" s="3"/>
      <c r="F628" s="3"/>
      <c r="G628" s="3"/>
      <c r="H628" s="3"/>
    </row>
    <row r="629" spans="4:8" ht="13" x14ac:dyDescent="0.15">
      <c r="D629" s="3"/>
      <c r="E629" s="3"/>
      <c r="F629" s="3"/>
      <c r="G629" s="3"/>
      <c r="H629" s="3"/>
    </row>
    <row r="630" spans="4:8" ht="13" x14ac:dyDescent="0.15">
      <c r="D630" s="3"/>
      <c r="E630" s="3"/>
      <c r="F630" s="3"/>
      <c r="G630" s="3"/>
      <c r="H630" s="3"/>
    </row>
    <row r="631" spans="4:8" ht="13" x14ac:dyDescent="0.15">
      <c r="D631" s="3"/>
      <c r="E631" s="3"/>
      <c r="F631" s="3"/>
      <c r="G631" s="3"/>
      <c r="H631" s="3"/>
    </row>
    <row r="632" spans="4:8" ht="13" x14ac:dyDescent="0.15">
      <c r="D632" s="3"/>
      <c r="E632" s="3"/>
      <c r="F632" s="3"/>
      <c r="G632" s="3"/>
      <c r="H632" s="3"/>
    </row>
    <row r="633" spans="4:8" ht="13" x14ac:dyDescent="0.15">
      <c r="D633" s="3"/>
      <c r="E633" s="3"/>
      <c r="F633" s="3"/>
      <c r="G633" s="3"/>
      <c r="H633" s="3"/>
    </row>
    <row r="634" spans="4:8" ht="13" x14ac:dyDescent="0.15">
      <c r="D634" s="3"/>
      <c r="E634" s="3"/>
      <c r="F634" s="3"/>
      <c r="G634" s="3"/>
      <c r="H634" s="3"/>
    </row>
    <row r="635" spans="4:8" ht="13" x14ac:dyDescent="0.15">
      <c r="D635" s="3"/>
      <c r="E635" s="3"/>
      <c r="F635" s="3"/>
      <c r="G635" s="3"/>
      <c r="H635" s="3"/>
    </row>
    <row r="636" spans="4:8" ht="13" x14ac:dyDescent="0.15">
      <c r="D636" s="3"/>
      <c r="E636" s="3"/>
      <c r="F636" s="3"/>
      <c r="G636" s="3"/>
      <c r="H636" s="3"/>
    </row>
    <row r="637" spans="4:8" ht="13" x14ac:dyDescent="0.15">
      <c r="D637" s="3"/>
      <c r="E637" s="3"/>
      <c r="F637" s="3"/>
      <c r="G637" s="3"/>
      <c r="H637" s="3"/>
    </row>
    <row r="638" spans="4:8" ht="13" x14ac:dyDescent="0.15">
      <c r="D638" s="3"/>
      <c r="E638" s="3"/>
      <c r="F638" s="3"/>
      <c r="G638" s="3"/>
      <c r="H638" s="3"/>
    </row>
    <row r="639" spans="4:8" ht="13" x14ac:dyDescent="0.15">
      <c r="D639" s="3"/>
      <c r="E639" s="3"/>
      <c r="F639" s="3"/>
      <c r="G639" s="3"/>
      <c r="H639" s="3"/>
    </row>
    <row r="640" spans="4:8" ht="13" x14ac:dyDescent="0.15">
      <c r="D640" s="3"/>
      <c r="E640" s="3"/>
      <c r="F640" s="3"/>
      <c r="G640" s="3"/>
      <c r="H640" s="3"/>
    </row>
    <row r="641" spans="4:8" ht="13" x14ac:dyDescent="0.15">
      <c r="D641" s="3"/>
      <c r="E641" s="3"/>
      <c r="F641" s="3"/>
      <c r="G641" s="3"/>
      <c r="H641" s="3"/>
    </row>
    <row r="642" spans="4:8" ht="13" x14ac:dyDescent="0.15">
      <c r="D642" s="3"/>
      <c r="E642" s="3"/>
      <c r="F642" s="3"/>
      <c r="G642" s="3"/>
      <c r="H642" s="3"/>
    </row>
    <row r="643" spans="4:8" ht="13" x14ac:dyDescent="0.15">
      <c r="D643" s="3"/>
      <c r="E643" s="3"/>
      <c r="F643" s="3"/>
      <c r="G643" s="3"/>
      <c r="H643" s="3"/>
    </row>
    <row r="644" spans="4:8" ht="13" x14ac:dyDescent="0.15">
      <c r="D644" s="3"/>
      <c r="E644" s="3"/>
      <c r="F644" s="3"/>
      <c r="G644" s="3"/>
      <c r="H644" s="3"/>
    </row>
    <row r="645" spans="4:8" ht="13" x14ac:dyDescent="0.15">
      <c r="D645" s="3"/>
      <c r="E645" s="3"/>
      <c r="F645" s="3"/>
      <c r="G645" s="3"/>
      <c r="H645" s="3"/>
    </row>
    <row r="646" spans="4:8" ht="13" x14ac:dyDescent="0.15">
      <c r="D646" s="3"/>
      <c r="E646" s="3"/>
      <c r="F646" s="3"/>
      <c r="G646" s="3"/>
      <c r="H646" s="3"/>
    </row>
    <row r="647" spans="4:8" ht="13" x14ac:dyDescent="0.15">
      <c r="D647" s="3"/>
      <c r="E647" s="3"/>
      <c r="F647" s="3"/>
      <c r="G647" s="3"/>
      <c r="H647" s="3"/>
    </row>
    <row r="648" spans="4:8" ht="13" x14ac:dyDescent="0.15">
      <c r="D648" s="3"/>
      <c r="E648" s="3"/>
      <c r="F648" s="3"/>
      <c r="G648" s="3"/>
      <c r="H648" s="3"/>
    </row>
    <row r="649" spans="4:8" ht="13" x14ac:dyDescent="0.15">
      <c r="D649" s="3"/>
      <c r="E649" s="3"/>
      <c r="F649" s="3"/>
      <c r="G649" s="3"/>
      <c r="H649" s="3"/>
    </row>
    <row r="650" spans="4:8" ht="13" x14ac:dyDescent="0.15">
      <c r="D650" s="3"/>
      <c r="E650" s="3"/>
      <c r="F650" s="3"/>
      <c r="G650" s="3"/>
      <c r="H650" s="3"/>
    </row>
    <row r="651" spans="4:8" ht="13" x14ac:dyDescent="0.15">
      <c r="D651" s="3"/>
      <c r="E651" s="3"/>
      <c r="F651" s="3"/>
      <c r="G651" s="3"/>
      <c r="H651" s="3"/>
    </row>
    <row r="652" spans="4:8" ht="13" x14ac:dyDescent="0.15">
      <c r="D652" s="3"/>
      <c r="E652" s="3"/>
      <c r="F652" s="3"/>
      <c r="G652" s="3"/>
      <c r="H652" s="3"/>
    </row>
    <row r="653" spans="4:8" ht="13" x14ac:dyDescent="0.15">
      <c r="D653" s="3"/>
      <c r="E653" s="3"/>
      <c r="F653" s="3"/>
      <c r="G653" s="3"/>
      <c r="H653" s="3"/>
    </row>
    <row r="654" spans="4:8" ht="13" x14ac:dyDescent="0.15">
      <c r="D654" s="3"/>
      <c r="E654" s="3"/>
      <c r="F654" s="3"/>
      <c r="G654" s="3"/>
      <c r="H654" s="3"/>
    </row>
    <row r="655" spans="4:8" ht="13" x14ac:dyDescent="0.15">
      <c r="D655" s="3"/>
      <c r="E655" s="3"/>
      <c r="F655" s="3"/>
      <c r="G655" s="3"/>
      <c r="H655" s="3"/>
    </row>
    <row r="656" spans="4:8" ht="13" x14ac:dyDescent="0.15">
      <c r="D656" s="3"/>
      <c r="E656" s="3"/>
      <c r="F656" s="3"/>
      <c r="G656" s="3"/>
      <c r="H656" s="3"/>
    </row>
    <row r="657" spans="4:8" ht="13" x14ac:dyDescent="0.15">
      <c r="D657" s="3"/>
      <c r="E657" s="3"/>
      <c r="F657" s="3"/>
      <c r="G657" s="3"/>
      <c r="H657" s="3"/>
    </row>
    <row r="658" spans="4:8" ht="13" x14ac:dyDescent="0.15">
      <c r="D658" s="3"/>
      <c r="E658" s="3"/>
      <c r="F658" s="3"/>
      <c r="G658" s="3"/>
      <c r="H658" s="3"/>
    </row>
    <row r="659" spans="4:8" ht="13" x14ac:dyDescent="0.15">
      <c r="D659" s="3"/>
      <c r="E659" s="3"/>
      <c r="F659" s="3"/>
      <c r="G659" s="3"/>
      <c r="H659" s="3"/>
    </row>
    <row r="660" spans="4:8" ht="13" x14ac:dyDescent="0.15">
      <c r="D660" s="3"/>
      <c r="E660" s="3"/>
      <c r="F660" s="3"/>
      <c r="G660" s="3"/>
      <c r="H660" s="3"/>
    </row>
    <row r="661" spans="4:8" ht="13" x14ac:dyDescent="0.15">
      <c r="D661" s="3"/>
      <c r="E661" s="3"/>
      <c r="F661" s="3"/>
      <c r="G661" s="3"/>
      <c r="H661" s="3"/>
    </row>
    <row r="662" spans="4:8" ht="13" x14ac:dyDescent="0.15">
      <c r="D662" s="3"/>
      <c r="E662" s="3"/>
      <c r="F662" s="3"/>
      <c r="G662" s="3"/>
      <c r="H662" s="3"/>
    </row>
    <row r="663" spans="4:8" ht="13" x14ac:dyDescent="0.15">
      <c r="D663" s="3"/>
      <c r="E663" s="3"/>
      <c r="F663" s="3"/>
      <c r="G663" s="3"/>
      <c r="H663" s="3"/>
    </row>
    <row r="664" spans="4:8" ht="13" x14ac:dyDescent="0.15">
      <c r="D664" s="3"/>
      <c r="E664" s="3"/>
      <c r="F664" s="3"/>
      <c r="G664" s="3"/>
      <c r="H664" s="3"/>
    </row>
    <row r="665" spans="4:8" ht="13" x14ac:dyDescent="0.15">
      <c r="D665" s="3"/>
      <c r="E665" s="3"/>
      <c r="F665" s="3"/>
      <c r="G665" s="3"/>
      <c r="H665" s="3"/>
    </row>
    <row r="666" spans="4:8" ht="13" x14ac:dyDescent="0.15">
      <c r="D666" s="3"/>
      <c r="E666" s="3"/>
      <c r="F666" s="3"/>
      <c r="G666" s="3"/>
      <c r="H666" s="3"/>
    </row>
    <row r="667" spans="4:8" ht="13" x14ac:dyDescent="0.15">
      <c r="D667" s="3"/>
      <c r="E667" s="3"/>
      <c r="F667" s="3"/>
      <c r="G667" s="3"/>
      <c r="H667" s="3"/>
    </row>
    <row r="668" spans="4:8" ht="13" x14ac:dyDescent="0.15">
      <c r="D668" s="3"/>
      <c r="E668" s="3"/>
      <c r="F668" s="3"/>
      <c r="G668" s="3"/>
      <c r="H668" s="3"/>
    </row>
    <row r="669" spans="4:8" ht="13" x14ac:dyDescent="0.15">
      <c r="D669" s="3"/>
      <c r="E669" s="3"/>
      <c r="F669" s="3"/>
      <c r="G669" s="3"/>
      <c r="H669" s="3"/>
    </row>
    <row r="670" spans="4:8" ht="13" x14ac:dyDescent="0.15">
      <c r="D670" s="3"/>
      <c r="E670" s="3"/>
      <c r="F670" s="3"/>
      <c r="G670" s="3"/>
      <c r="H670" s="3"/>
    </row>
    <row r="671" spans="4:8" ht="13" x14ac:dyDescent="0.15">
      <c r="D671" s="3"/>
      <c r="E671" s="3"/>
      <c r="F671" s="3"/>
      <c r="G671" s="3"/>
      <c r="H671" s="3"/>
    </row>
    <row r="672" spans="4:8" ht="13" x14ac:dyDescent="0.15">
      <c r="D672" s="3"/>
      <c r="E672" s="3"/>
      <c r="F672" s="3"/>
      <c r="G672" s="3"/>
      <c r="H672" s="3"/>
    </row>
    <row r="673" spans="4:8" ht="13" x14ac:dyDescent="0.15">
      <c r="D673" s="3"/>
      <c r="E673" s="3"/>
      <c r="F673" s="3"/>
      <c r="G673" s="3"/>
      <c r="H673" s="3"/>
    </row>
    <row r="674" spans="4:8" ht="13" x14ac:dyDescent="0.15">
      <c r="D674" s="3"/>
      <c r="E674" s="3"/>
      <c r="F674" s="3"/>
      <c r="G674" s="3"/>
      <c r="H674" s="3"/>
    </row>
    <row r="675" spans="4:8" ht="13" x14ac:dyDescent="0.15">
      <c r="D675" s="3"/>
      <c r="E675" s="3"/>
      <c r="F675" s="3"/>
      <c r="G675" s="3"/>
      <c r="H675" s="3"/>
    </row>
    <row r="676" spans="4:8" ht="13" x14ac:dyDescent="0.15">
      <c r="D676" s="3"/>
      <c r="E676" s="3"/>
      <c r="F676" s="3"/>
      <c r="G676" s="3"/>
      <c r="H676" s="3"/>
    </row>
    <row r="677" spans="4:8" ht="13" x14ac:dyDescent="0.15">
      <c r="D677" s="3"/>
      <c r="E677" s="3"/>
      <c r="F677" s="3"/>
      <c r="G677" s="3"/>
      <c r="H677" s="3"/>
    </row>
    <row r="678" spans="4:8" ht="13" x14ac:dyDescent="0.15">
      <c r="D678" s="3"/>
      <c r="E678" s="3"/>
      <c r="F678" s="3"/>
      <c r="G678" s="3"/>
      <c r="H678" s="3"/>
    </row>
    <row r="679" spans="4:8" ht="13" x14ac:dyDescent="0.15">
      <c r="D679" s="3"/>
      <c r="E679" s="3"/>
      <c r="F679" s="3"/>
      <c r="G679" s="3"/>
      <c r="H679" s="3"/>
    </row>
    <row r="680" spans="4:8" ht="13" x14ac:dyDescent="0.15">
      <c r="D680" s="3"/>
      <c r="E680" s="3"/>
      <c r="F680" s="3"/>
      <c r="G680" s="3"/>
      <c r="H680" s="3"/>
    </row>
    <row r="681" spans="4:8" ht="13" x14ac:dyDescent="0.15">
      <c r="D681" s="3"/>
      <c r="E681" s="3"/>
      <c r="F681" s="3"/>
      <c r="G681" s="3"/>
      <c r="H681" s="3"/>
    </row>
    <row r="682" spans="4:8" ht="13" x14ac:dyDescent="0.15">
      <c r="D682" s="3"/>
      <c r="E682" s="3"/>
      <c r="F682" s="3"/>
      <c r="G682" s="3"/>
      <c r="H682" s="3"/>
    </row>
    <row r="683" spans="4:8" ht="13" x14ac:dyDescent="0.15">
      <c r="D683" s="3"/>
      <c r="E683" s="3"/>
      <c r="F683" s="3"/>
      <c r="G683" s="3"/>
      <c r="H683" s="3"/>
    </row>
    <row r="684" spans="4:8" ht="13" x14ac:dyDescent="0.15">
      <c r="D684" s="3"/>
      <c r="E684" s="3"/>
      <c r="F684" s="3"/>
      <c r="G684" s="3"/>
      <c r="H684" s="3"/>
    </row>
    <row r="685" spans="4:8" ht="13" x14ac:dyDescent="0.15">
      <c r="D685" s="3"/>
      <c r="E685" s="3"/>
      <c r="F685" s="3"/>
      <c r="G685" s="3"/>
      <c r="H685" s="3"/>
    </row>
    <row r="686" spans="4:8" ht="13" x14ac:dyDescent="0.15">
      <c r="D686" s="3"/>
      <c r="E686" s="3"/>
      <c r="F686" s="3"/>
      <c r="G686" s="3"/>
      <c r="H686" s="3"/>
    </row>
    <row r="687" spans="4:8" ht="13" x14ac:dyDescent="0.15">
      <c r="D687" s="3"/>
      <c r="E687" s="3"/>
      <c r="F687" s="3"/>
      <c r="G687" s="3"/>
      <c r="H687" s="3"/>
    </row>
    <row r="688" spans="4:8" ht="13" x14ac:dyDescent="0.15">
      <c r="D688" s="3"/>
      <c r="E688" s="3"/>
      <c r="F688" s="3"/>
      <c r="G688" s="3"/>
      <c r="H688" s="3"/>
    </row>
    <row r="689" spans="4:8" ht="13" x14ac:dyDescent="0.15">
      <c r="D689" s="3"/>
      <c r="E689" s="3"/>
      <c r="F689" s="3"/>
      <c r="G689" s="3"/>
      <c r="H689" s="3"/>
    </row>
    <row r="690" spans="4:8" ht="13" x14ac:dyDescent="0.15">
      <c r="D690" s="3"/>
      <c r="E690" s="3"/>
      <c r="F690" s="3"/>
      <c r="G690" s="3"/>
      <c r="H690" s="3"/>
    </row>
    <row r="691" spans="4:8" ht="13" x14ac:dyDescent="0.15">
      <c r="D691" s="3"/>
      <c r="E691" s="3"/>
      <c r="F691" s="3"/>
      <c r="G691" s="3"/>
      <c r="H691" s="3"/>
    </row>
    <row r="692" spans="4:8" ht="13" x14ac:dyDescent="0.15">
      <c r="D692" s="3"/>
      <c r="E692" s="3"/>
      <c r="F692" s="3"/>
      <c r="G692" s="3"/>
      <c r="H692" s="3"/>
    </row>
    <row r="693" spans="4:8" ht="13" x14ac:dyDescent="0.15">
      <c r="D693" s="3"/>
      <c r="E693" s="3"/>
      <c r="F693" s="3"/>
      <c r="G693" s="3"/>
      <c r="H693" s="3"/>
    </row>
    <row r="694" spans="4:8" ht="13" x14ac:dyDescent="0.15">
      <c r="D694" s="3"/>
      <c r="E694" s="3"/>
      <c r="F694" s="3"/>
      <c r="G694" s="3"/>
      <c r="H694" s="3"/>
    </row>
    <row r="695" spans="4:8" ht="13" x14ac:dyDescent="0.15">
      <c r="D695" s="3"/>
      <c r="E695" s="3"/>
      <c r="F695" s="3"/>
      <c r="G695" s="3"/>
      <c r="H695" s="3"/>
    </row>
    <row r="696" spans="4:8" ht="13" x14ac:dyDescent="0.15">
      <c r="D696" s="3"/>
      <c r="E696" s="3"/>
      <c r="F696" s="3"/>
      <c r="G696" s="3"/>
      <c r="H696" s="3"/>
    </row>
    <row r="697" spans="4:8" ht="13" x14ac:dyDescent="0.15">
      <c r="D697" s="3"/>
      <c r="E697" s="3"/>
      <c r="F697" s="3"/>
      <c r="G697" s="3"/>
      <c r="H697" s="3"/>
    </row>
    <row r="698" spans="4:8" ht="13" x14ac:dyDescent="0.15">
      <c r="D698" s="3"/>
      <c r="E698" s="3"/>
      <c r="F698" s="3"/>
      <c r="G698" s="3"/>
      <c r="H698" s="3"/>
    </row>
    <row r="699" spans="4:8" ht="13" x14ac:dyDescent="0.15">
      <c r="D699" s="3"/>
      <c r="E699" s="3"/>
      <c r="F699" s="3"/>
      <c r="G699" s="3"/>
      <c r="H699" s="3"/>
    </row>
    <row r="700" spans="4:8" ht="13" x14ac:dyDescent="0.15">
      <c r="D700" s="3"/>
      <c r="E700" s="3"/>
      <c r="F700" s="3"/>
      <c r="G700" s="3"/>
      <c r="H700" s="3"/>
    </row>
    <row r="701" spans="4:8" ht="13" x14ac:dyDescent="0.15">
      <c r="D701" s="3"/>
      <c r="E701" s="3"/>
      <c r="F701" s="3"/>
      <c r="G701" s="3"/>
      <c r="H701" s="3"/>
    </row>
    <row r="702" spans="4:8" ht="13" x14ac:dyDescent="0.15">
      <c r="D702" s="3"/>
      <c r="E702" s="3"/>
      <c r="F702" s="3"/>
      <c r="G702" s="3"/>
      <c r="H702" s="3"/>
    </row>
    <row r="703" spans="4:8" ht="13" x14ac:dyDescent="0.15">
      <c r="D703" s="3"/>
      <c r="E703" s="3"/>
      <c r="F703" s="3"/>
      <c r="G703" s="3"/>
      <c r="H703" s="3"/>
    </row>
    <row r="704" spans="4:8" ht="13" x14ac:dyDescent="0.15">
      <c r="D704" s="3"/>
      <c r="E704" s="3"/>
      <c r="F704" s="3"/>
      <c r="G704" s="3"/>
      <c r="H704" s="3"/>
    </row>
    <row r="705" spans="4:8" ht="13" x14ac:dyDescent="0.15">
      <c r="D705" s="3"/>
      <c r="E705" s="3"/>
      <c r="F705" s="3"/>
      <c r="G705" s="3"/>
      <c r="H705" s="3"/>
    </row>
    <row r="706" spans="4:8" ht="13" x14ac:dyDescent="0.15">
      <c r="D706" s="3"/>
      <c r="E706" s="3"/>
      <c r="F706" s="3"/>
      <c r="G706" s="3"/>
      <c r="H706" s="3"/>
    </row>
    <row r="707" spans="4:8" ht="13" x14ac:dyDescent="0.15">
      <c r="D707" s="3"/>
      <c r="E707" s="3"/>
      <c r="F707" s="3"/>
      <c r="G707" s="3"/>
      <c r="H707" s="3"/>
    </row>
    <row r="708" spans="4:8" ht="13" x14ac:dyDescent="0.15">
      <c r="D708" s="3"/>
      <c r="E708" s="3"/>
      <c r="F708" s="3"/>
      <c r="G708" s="3"/>
      <c r="H708" s="3"/>
    </row>
    <row r="709" spans="4:8" ht="13" x14ac:dyDescent="0.15">
      <c r="D709" s="3"/>
      <c r="E709" s="3"/>
      <c r="F709" s="3"/>
      <c r="G709" s="3"/>
      <c r="H709" s="3"/>
    </row>
    <row r="710" spans="4:8" ht="13" x14ac:dyDescent="0.15">
      <c r="D710" s="3"/>
      <c r="E710" s="3"/>
      <c r="F710" s="3"/>
      <c r="G710" s="3"/>
      <c r="H710" s="3"/>
    </row>
    <row r="711" spans="4:8" ht="13" x14ac:dyDescent="0.15">
      <c r="D711" s="3"/>
      <c r="E711" s="3"/>
      <c r="F711" s="3"/>
      <c r="G711" s="3"/>
      <c r="H711" s="3"/>
    </row>
    <row r="712" spans="4:8" ht="13" x14ac:dyDescent="0.15">
      <c r="D712" s="3"/>
      <c r="E712" s="3"/>
      <c r="F712" s="3"/>
      <c r="G712" s="3"/>
      <c r="H712" s="3"/>
    </row>
    <row r="713" spans="4:8" ht="13" x14ac:dyDescent="0.15">
      <c r="D713" s="3"/>
      <c r="E713" s="3"/>
      <c r="F713" s="3"/>
      <c r="G713" s="3"/>
      <c r="H713" s="3"/>
    </row>
    <row r="714" spans="4:8" ht="13" x14ac:dyDescent="0.15">
      <c r="D714" s="3"/>
      <c r="E714" s="3"/>
      <c r="F714" s="3"/>
      <c r="G714" s="3"/>
      <c r="H714" s="3"/>
    </row>
    <row r="715" spans="4:8" ht="13" x14ac:dyDescent="0.15">
      <c r="D715" s="3"/>
      <c r="E715" s="3"/>
      <c r="F715" s="3"/>
      <c r="G715" s="3"/>
      <c r="H715" s="3"/>
    </row>
    <row r="716" spans="4:8" ht="13" x14ac:dyDescent="0.15">
      <c r="D716" s="3"/>
      <c r="E716" s="3"/>
      <c r="F716" s="3"/>
      <c r="G716" s="3"/>
      <c r="H716" s="3"/>
    </row>
    <row r="717" spans="4:8" ht="13" x14ac:dyDescent="0.15">
      <c r="D717" s="3"/>
      <c r="E717" s="3"/>
      <c r="F717" s="3"/>
      <c r="G717" s="3"/>
      <c r="H717" s="3"/>
    </row>
    <row r="718" spans="4:8" ht="13" x14ac:dyDescent="0.15">
      <c r="D718" s="3"/>
      <c r="E718" s="3"/>
      <c r="F718" s="3"/>
      <c r="G718" s="3"/>
      <c r="H718" s="3"/>
    </row>
    <row r="719" spans="4:8" ht="13" x14ac:dyDescent="0.15">
      <c r="D719" s="3"/>
      <c r="E719" s="3"/>
      <c r="F719" s="3"/>
      <c r="G719" s="3"/>
      <c r="H719" s="3"/>
    </row>
    <row r="720" spans="4:8" ht="13" x14ac:dyDescent="0.15">
      <c r="D720" s="3"/>
      <c r="E720" s="3"/>
      <c r="F720" s="3"/>
      <c r="G720" s="3"/>
      <c r="H720" s="3"/>
    </row>
    <row r="721" spans="4:8" ht="13" x14ac:dyDescent="0.15">
      <c r="D721" s="3"/>
      <c r="E721" s="3"/>
      <c r="F721" s="3"/>
      <c r="G721" s="3"/>
      <c r="H721" s="3"/>
    </row>
    <row r="722" spans="4:8" ht="13" x14ac:dyDescent="0.15">
      <c r="D722" s="3"/>
      <c r="E722" s="3"/>
      <c r="F722" s="3"/>
      <c r="G722" s="3"/>
      <c r="H722" s="3"/>
    </row>
    <row r="723" spans="4:8" ht="13" x14ac:dyDescent="0.15">
      <c r="D723" s="3"/>
      <c r="E723" s="3"/>
      <c r="F723" s="3"/>
      <c r="G723" s="3"/>
      <c r="H723" s="3"/>
    </row>
    <row r="724" spans="4:8" ht="13" x14ac:dyDescent="0.15">
      <c r="D724" s="3"/>
      <c r="E724" s="3"/>
      <c r="F724" s="3"/>
      <c r="G724" s="3"/>
      <c r="H724" s="3"/>
    </row>
    <row r="725" spans="4:8" ht="13" x14ac:dyDescent="0.15">
      <c r="D725" s="3"/>
      <c r="E725" s="3"/>
      <c r="F725" s="3"/>
      <c r="G725" s="3"/>
      <c r="H725" s="3"/>
    </row>
    <row r="726" spans="4:8" ht="13" x14ac:dyDescent="0.15">
      <c r="D726" s="3"/>
      <c r="E726" s="3"/>
      <c r="F726" s="3"/>
      <c r="G726" s="3"/>
      <c r="H726" s="3"/>
    </row>
    <row r="727" spans="4:8" ht="13" x14ac:dyDescent="0.15">
      <c r="D727" s="3"/>
      <c r="E727" s="3"/>
      <c r="F727" s="3"/>
      <c r="G727" s="3"/>
      <c r="H727" s="3"/>
    </row>
    <row r="728" spans="4:8" ht="13" x14ac:dyDescent="0.15">
      <c r="D728" s="3"/>
      <c r="E728" s="3"/>
      <c r="F728" s="3"/>
      <c r="G728" s="3"/>
      <c r="H728" s="3"/>
    </row>
    <row r="729" spans="4:8" ht="13" x14ac:dyDescent="0.15">
      <c r="D729" s="3"/>
      <c r="E729" s="3"/>
      <c r="F729" s="3"/>
      <c r="G729" s="3"/>
      <c r="H729" s="3"/>
    </row>
    <row r="730" spans="4:8" ht="13" x14ac:dyDescent="0.15">
      <c r="D730" s="3"/>
      <c r="E730" s="3"/>
      <c r="F730" s="3"/>
      <c r="G730" s="3"/>
      <c r="H730" s="3"/>
    </row>
    <row r="731" spans="4:8" ht="13" x14ac:dyDescent="0.15">
      <c r="D731" s="3"/>
      <c r="E731" s="3"/>
      <c r="F731" s="3"/>
      <c r="G731" s="3"/>
      <c r="H731" s="3"/>
    </row>
    <row r="732" spans="4:8" ht="13" x14ac:dyDescent="0.15">
      <c r="D732" s="3"/>
      <c r="E732" s="3"/>
      <c r="F732" s="3"/>
      <c r="G732" s="3"/>
      <c r="H732" s="3"/>
    </row>
    <row r="733" spans="4:8" ht="13" x14ac:dyDescent="0.15">
      <c r="D733" s="3"/>
      <c r="E733" s="3"/>
      <c r="F733" s="3"/>
      <c r="G733" s="3"/>
      <c r="H733" s="3"/>
    </row>
    <row r="734" spans="4:8" ht="13" x14ac:dyDescent="0.15">
      <c r="D734" s="3"/>
      <c r="E734" s="3"/>
      <c r="F734" s="3"/>
      <c r="G734" s="3"/>
      <c r="H734" s="3"/>
    </row>
    <row r="735" spans="4:8" ht="13" x14ac:dyDescent="0.15">
      <c r="D735" s="3"/>
      <c r="E735" s="3"/>
      <c r="F735" s="3"/>
      <c r="G735" s="3"/>
      <c r="H735" s="3"/>
    </row>
    <row r="736" spans="4:8" ht="13" x14ac:dyDescent="0.15">
      <c r="D736" s="3"/>
      <c r="E736" s="3"/>
      <c r="F736" s="3"/>
      <c r="G736" s="3"/>
      <c r="H736" s="3"/>
    </row>
    <row r="737" spans="4:8" ht="13" x14ac:dyDescent="0.15">
      <c r="D737" s="3"/>
      <c r="E737" s="3"/>
      <c r="F737" s="3"/>
      <c r="G737" s="3"/>
      <c r="H737" s="3"/>
    </row>
    <row r="738" spans="4:8" ht="13" x14ac:dyDescent="0.15">
      <c r="D738" s="3"/>
      <c r="E738" s="3"/>
      <c r="F738" s="3"/>
      <c r="G738" s="3"/>
      <c r="H738" s="3"/>
    </row>
    <row r="739" spans="4:8" ht="13" x14ac:dyDescent="0.15">
      <c r="D739" s="3"/>
      <c r="E739" s="3"/>
      <c r="F739" s="3"/>
      <c r="G739" s="3"/>
      <c r="H739" s="3"/>
    </row>
    <row r="740" spans="4:8" ht="13" x14ac:dyDescent="0.15">
      <c r="D740" s="3"/>
      <c r="E740" s="3"/>
      <c r="F740" s="3"/>
      <c r="G740" s="3"/>
      <c r="H740" s="3"/>
    </row>
    <row r="741" spans="4:8" ht="13" x14ac:dyDescent="0.15">
      <c r="D741" s="3"/>
      <c r="E741" s="3"/>
      <c r="F741" s="3"/>
      <c r="G741" s="3"/>
      <c r="H741" s="3"/>
    </row>
    <row r="742" spans="4:8" ht="13" x14ac:dyDescent="0.15">
      <c r="D742" s="3"/>
      <c r="E742" s="3"/>
      <c r="F742" s="3"/>
      <c r="G742" s="3"/>
      <c r="H742" s="3"/>
    </row>
    <row r="743" spans="4:8" ht="13" x14ac:dyDescent="0.15">
      <c r="D743" s="3"/>
      <c r="E743" s="3"/>
      <c r="F743" s="3"/>
      <c r="G743" s="3"/>
      <c r="H743" s="3"/>
    </row>
    <row r="744" spans="4:8" ht="13" x14ac:dyDescent="0.15">
      <c r="D744" s="3"/>
      <c r="E744" s="3"/>
      <c r="F744" s="3"/>
      <c r="G744" s="3"/>
      <c r="H744" s="3"/>
    </row>
    <row r="745" spans="4:8" ht="13" x14ac:dyDescent="0.15">
      <c r="D745" s="3"/>
      <c r="E745" s="3"/>
      <c r="F745" s="3"/>
      <c r="G745" s="3"/>
      <c r="H745" s="3"/>
    </row>
    <row r="746" spans="4:8" ht="13" x14ac:dyDescent="0.15">
      <c r="D746" s="3"/>
      <c r="E746" s="3"/>
      <c r="F746" s="3"/>
      <c r="G746" s="3"/>
      <c r="H746" s="3"/>
    </row>
    <row r="747" spans="4:8" ht="13" x14ac:dyDescent="0.15">
      <c r="D747" s="3"/>
      <c r="E747" s="3"/>
      <c r="F747" s="3"/>
      <c r="G747" s="3"/>
      <c r="H747" s="3"/>
    </row>
    <row r="748" spans="4:8" ht="13" x14ac:dyDescent="0.15">
      <c r="D748" s="3"/>
      <c r="E748" s="3"/>
      <c r="F748" s="3"/>
      <c r="G748" s="3"/>
      <c r="H748" s="3"/>
    </row>
    <row r="749" spans="4:8" ht="13" x14ac:dyDescent="0.15">
      <c r="D749" s="3"/>
      <c r="E749" s="3"/>
      <c r="F749" s="3"/>
      <c r="G749" s="3"/>
      <c r="H749" s="3"/>
    </row>
    <row r="750" spans="4:8" ht="13" x14ac:dyDescent="0.15">
      <c r="D750" s="3"/>
      <c r="E750" s="3"/>
      <c r="F750" s="3"/>
      <c r="G750" s="3"/>
      <c r="H750" s="3"/>
    </row>
    <row r="751" spans="4:8" ht="13" x14ac:dyDescent="0.15">
      <c r="D751" s="3"/>
      <c r="E751" s="3"/>
      <c r="F751" s="3"/>
      <c r="G751" s="3"/>
      <c r="H751" s="3"/>
    </row>
    <row r="752" spans="4:8" ht="13" x14ac:dyDescent="0.15">
      <c r="D752" s="3"/>
      <c r="E752" s="3"/>
      <c r="F752" s="3"/>
      <c r="G752" s="3"/>
      <c r="H752" s="3"/>
    </row>
    <row r="753" spans="4:8" ht="13" x14ac:dyDescent="0.15">
      <c r="D753" s="3"/>
      <c r="E753" s="3"/>
      <c r="F753" s="3"/>
      <c r="G753" s="3"/>
      <c r="H753" s="3"/>
    </row>
    <row r="754" spans="4:8" ht="13" x14ac:dyDescent="0.15">
      <c r="D754" s="3"/>
      <c r="E754" s="3"/>
      <c r="F754" s="3"/>
      <c r="G754" s="3"/>
      <c r="H754" s="3"/>
    </row>
    <row r="755" spans="4:8" ht="13" x14ac:dyDescent="0.15">
      <c r="D755" s="3"/>
      <c r="E755" s="3"/>
      <c r="F755" s="3"/>
      <c r="G755" s="3"/>
      <c r="H755" s="3"/>
    </row>
    <row r="756" spans="4:8" ht="13" x14ac:dyDescent="0.15">
      <c r="D756" s="3"/>
      <c r="E756" s="3"/>
      <c r="F756" s="3"/>
      <c r="G756" s="3"/>
      <c r="H756" s="3"/>
    </row>
    <row r="757" spans="4:8" ht="13" x14ac:dyDescent="0.15">
      <c r="D757" s="3"/>
      <c r="E757" s="3"/>
      <c r="F757" s="3"/>
      <c r="G757" s="3"/>
      <c r="H757" s="3"/>
    </row>
    <row r="758" spans="4:8" ht="13" x14ac:dyDescent="0.15">
      <c r="D758" s="3"/>
      <c r="E758" s="3"/>
      <c r="F758" s="3"/>
      <c r="G758" s="3"/>
      <c r="H758" s="3"/>
    </row>
    <row r="759" spans="4:8" ht="13" x14ac:dyDescent="0.15">
      <c r="D759" s="3"/>
      <c r="E759" s="3"/>
      <c r="F759" s="3"/>
      <c r="G759" s="3"/>
      <c r="H759" s="3"/>
    </row>
    <row r="760" spans="4:8" ht="13" x14ac:dyDescent="0.15">
      <c r="D760" s="3"/>
      <c r="E760" s="3"/>
      <c r="F760" s="3"/>
      <c r="G760" s="3"/>
      <c r="H760" s="3"/>
    </row>
    <row r="761" spans="4:8" ht="13" x14ac:dyDescent="0.15">
      <c r="D761" s="3"/>
      <c r="E761" s="3"/>
      <c r="F761" s="3"/>
      <c r="G761" s="3"/>
      <c r="H761" s="3"/>
    </row>
    <row r="762" spans="4:8" ht="13" x14ac:dyDescent="0.15">
      <c r="D762" s="3"/>
      <c r="E762" s="3"/>
      <c r="F762" s="3"/>
      <c r="G762" s="3"/>
      <c r="H762" s="3"/>
    </row>
    <row r="763" spans="4:8" ht="13" x14ac:dyDescent="0.15">
      <c r="D763" s="3"/>
      <c r="E763" s="3"/>
      <c r="F763" s="3"/>
      <c r="G763" s="3"/>
      <c r="H763" s="3"/>
    </row>
    <row r="764" spans="4:8" ht="13" x14ac:dyDescent="0.15">
      <c r="D764" s="3"/>
      <c r="E764" s="3"/>
      <c r="F764" s="3"/>
      <c r="G764" s="3"/>
      <c r="H764" s="3"/>
    </row>
    <row r="765" spans="4:8" ht="13" x14ac:dyDescent="0.15">
      <c r="D765" s="3"/>
      <c r="E765" s="3"/>
      <c r="F765" s="3"/>
      <c r="G765" s="3"/>
      <c r="H765" s="3"/>
    </row>
    <row r="766" spans="4:8" ht="13" x14ac:dyDescent="0.15">
      <c r="D766" s="3"/>
      <c r="E766" s="3"/>
      <c r="F766" s="3"/>
      <c r="G766" s="3"/>
      <c r="H766" s="3"/>
    </row>
    <row r="767" spans="4:8" ht="13" x14ac:dyDescent="0.15">
      <c r="D767" s="3"/>
      <c r="E767" s="3"/>
      <c r="F767" s="3"/>
      <c r="G767" s="3"/>
      <c r="H767" s="3"/>
    </row>
    <row r="768" spans="4:8" ht="13" x14ac:dyDescent="0.15">
      <c r="D768" s="3"/>
      <c r="E768" s="3"/>
      <c r="F768" s="3"/>
      <c r="G768" s="3"/>
      <c r="H768" s="3"/>
    </row>
    <row r="769" spans="4:8" ht="13" x14ac:dyDescent="0.15">
      <c r="D769" s="3"/>
      <c r="E769" s="3"/>
      <c r="F769" s="3"/>
      <c r="G769" s="3"/>
      <c r="H769" s="3"/>
    </row>
    <row r="770" spans="4:8" ht="13" x14ac:dyDescent="0.15">
      <c r="D770" s="3"/>
      <c r="E770" s="3"/>
      <c r="F770" s="3"/>
      <c r="G770" s="3"/>
      <c r="H770" s="3"/>
    </row>
    <row r="771" spans="4:8" ht="13" x14ac:dyDescent="0.15">
      <c r="D771" s="3"/>
      <c r="E771" s="3"/>
      <c r="F771" s="3"/>
      <c r="G771" s="3"/>
      <c r="H771" s="3"/>
    </row>
    <row r="772" spans="4:8" ht="13" x14ac:dyDescent="0.15">
      <c r="D772" s="3"/>
      <c r="E772" s="3"/>
      <c r="F772" s="3"/>
      <c r="G772" s="3"/>
      <c r="H772" s="3"/>
    </row>
    <row r="773" spans="4:8" ht="13" x14ac:dyDescent="0.15">
      <c r="D773" s="3"/>
      <c r="E773" s="3"/>
      <c r="F773" s="3"/>
      <c r="G773" s="3"/>
      <c r="H773" s="3"/>
    </row>
    <row r="774" spans="4:8" ht="13" x14ac:dyDescent="0.15">
      <c r="D774" s="3"/>
      <c r="E774" s="3"/>
      <c r="F774" s="3"/>
      <c r="G774" s="3"/>
      <c r="H774" s="3"/>
    </row>
    <row r="775" spans="4:8" ht="13" x14ac:dyDescent="0.15">
      <c r="D775" s="3"/>
      <c r="E775" s="3"/>
      <c r="F775" s="3"/>
      <c r="G775" s="3"/>
      <c r="H775" s="3"/>
    </row>
    <row r="776" spans="4:8" ht="13" x14ac:dyDescent="0.15">
      <c r="D776" s="3"/>
      <c r="E776" s="3"/>
      <c r="F776" s="3"/>
      <c r="G776" s="3"/>
      <c r="H776" s="3"/>
    </row>
    <row r="777" spans="4:8" ht="13" x14ac:dyDescent="0.15">
      <c r="D777" s="3"/>
      <c r="E777" s="3"/>
      <c r="F777" s="3"/>
      <c r="G777" s="3"/>
      <c r="H777" s="3"/>
    </row>
    <row r="778" spans="4:8" ht="13" x14ac:dyDescent="0.15">
      <c r="D778" s="3"/>
      <c r="E778" s="3"/>
      <c r="F778" s="3"/>
      <c r="G778" s="3"/>
      <c r="H778" s="3"/>
    </row>
    <row r="779" spans="4:8" ht="13" x14ac:dyDescent="0.15">
      <c r="D779" s="3"/>
      <c r="E779" s="3"/>
      <c r="F779" s="3"/>
      <c r="G779" s="3"/>
      <c r="H779" s="3"/>
    </row>
    <row r="780" spans="4:8" ht="13" x14ac:dyDescent="0.15">
      <c r="D780" s="3"/>
      <c r="E780" s="3"/>
      <c r="F780" s="3"/>
      <c r="G780" s="3"/>
      <c r="H780" s="3"/>
    </row>
    <row r="781" spans="4:8" ht="13" x14ac:dyDescent="0.15">
      <c r="D781" s="3"/>
      <c r="E781" s="3"/>
      <c r="F781" s="3"/>
      <c r="G781" s="3"/>
      <c r="H781" s="3"/>
    </row>
    <row r="782" spans="4:8" ht="13" x14ac:dyDescent="0.15">
      <c r="D782" s="3"/>
      <c r="E782" s="3"/>
      <c r="F782" s="3"/>
      <c r="G782" s="3"/>
      <c r="H782" s="3"/>
    </row>
    <row r="783" spans="4:8" ht="13" x14ac:dyDescent="0.15">
      <c r="D783" s="3"/>
      <c r="E783" s="3"/>
      <c r="F783" s="3"/>
      <c r="G783" s="3"/>
      <c r="H783" s="3"/>
    </row>
    <row r="784" spans="4:8" ht="13" x14ac:dyDescent="0.15">
      <c r="D784" s="3"/>
      <c r="E784" s="3"/>
      <c r="F784" s="3"/>
      <c r="G784" s="3"/>
      <c r="H784" s="3"/>
    </row>
    <row r="785" spans="4:8" ht="13" x14ac:dyDescent="0.15">
      <c r="D785" s="3"/>
      <c r="E785" s="3"/>
      <c r="F785" s="3"/>
      <c r="G785" s="3"/>
      <c r="H785" s="3"/>
    </row>
    <row r="786" spans="4:8" ht="13" x14ac:dyDescent="0.15">
      <c r="D786" s="3"/>
      <c r="E786" s="3"/>
      <c r="F786" s="3"/>
      <c r="G786" s="3"/>
      <c r="H786" s="3"/>
    </row>
    <row r="787" spans="4:8" ht="13" x14ac:dyDescent="0.15">
      <c r="D787" s="3"/>
      <c r="E787" s="3"/>
      <c r="F787" s="3"/>
      <c r="G787" s="3"/>
      <c r="H787" s="3"/>
    </row>
    <row r="788" spans="4:8" ht="13" x14ac:dyDescent="0.15">
      <c r="D788" s="3"/>
      <c r="E788" s="3"/>
      <c r="F788" s="3"/>
      <c r="G788" s="3"/>
      <c r="H788" s="3"/>
    </row>
    <row r="789" spans="4:8" ht="13" x14ac:dyDescent="0.15">
      <c r="D789" s="3"/>
      <c r="E789" s="3"/>
      <c r="F789" s="3"/>
      <c r="G789" s="3"/>
      <c r="H789" s="3"/>
    </row>
    <row r="790" spans="4:8" ht="13" x14ac:dyDescent="0.15">
      <c r="D790" s="3"/>
      <c r="E790" s="3"/>
      <c r="F790" s="3"/>
      <c r="G790" s="3"/>
      <c r="H790" s="3"/>
    </row>
    <row r="791" spans="4:8" ht="13" x14ac:dyDescent="0.15">
      <c r="D791" s="3"/>
      <c r="E791" s="3"/>
      <c r="F791" s="3"/>
      <c r="G791" s="3"/>
      <c r="H791" s="3"/>
    </row>
    <row r="792" spans="4:8" ht="13" x14ac:dyDescent="0.15">
      <c r="D792" s="3"/>
      <c r="E792" s="3"/>
      <c r="F792" s="3"/>
      <c r="G792" s="3"/>
      <c r="H792" s="3"/>
    </row>
    <row r="793" spans="4:8" ht="13" x14ac:dyDescent="0.15">
      <c r="D793" s="3"/>
      <c r="E793" s="3"/>
      <c r="F793" s="3"/>
      <c r="G793" s="3"/>
      <c r="H793" s="3"/>
    </row>
    <row r="794" spans="4:8" ht="13" x14ac:dyDescent="0.15">
      <c r="D794" s="3"/>
      <c r="E794" s="3"/>
      <c r="F794" s="3"/>
      <c r="G794" s="3"/>
      <c r="H794" s="3"/>
    </row>
    <row r="795" spans="4:8" ht="13" x14ac:dyDescent="0.15">
      <c r="D795" s="3"/>
      <c r="E795" s="3"/>
      <c r="F795" s="3"/>
      <c r="G795" s="3"/>
      <c r="H795" s="3"/>
    </row>
    <row r="796" spans="4:8" ht="13" x14ac:dyDescent="0.15">
      <c r="D796" s="3"/>
      <c r="E796" s="3"/>
      <c r="F796" s="3"/>
      <c r="G796" s="3"/>
      <c r="H796" s="3"/>
    </row>
    <row r="797" spans="4:8" ht="13" x14ac:dyDescent="0.15">
      <c r="D797" s="3"/>
      <c r="E797" s="3"/>
      <c r="F797" s="3"/>
      <c r="G797" s="3"/>
      <c r="H797" s="3"/>
    </row>
    <row r="798" spans="4:8" ht="13" x14ac:dyDescent="0.15">
      <c r="D798" s="3"/>
      <c r="E798" s="3"/>
      <c r="F798" s="3"/>
      <c r="G798" s="3"/>
      <c r="H798" s="3"/>
    </row>
    <row r="799" spans="4:8" ht="13" x14ac:dyDescent="0.15">
      <c r="D799" s="3"/>
      <c r="E799" s="3"/>
      <c r="F799" s="3"/>
      <c r="G799" s="3"/>
      <c r="H799" s="3"/>
    </row>
    <row r="800" spans="4:8" ht="13" x14ac:dyDescent="0.15">
      <c r="D800" s="3"/>
      <c r="E800" s="3"/>
      <c r="F800" s="3"/>
      <c r="G800" s="3"/>
      <c r="H800" s="3"/>
    </row>
    <row r="801" spans="4:8" ht="13" x14ac:dyDescent="0.15">
      <c r="D801" s="3"/>
      <c r="E801" s="3"/>
      <c r="F801" s="3"/>
      <c r="G801" s="3"/>
      <c r="H801" s="3"/>
    </row>
    <row r="802" spans="4:8" ht="13" x14ac:dyDescent="0.15">
      <c r="D802" s="3"/>
      <c r="E802" s="3"/>
      <c r="F802" s="3"/>
      <c r="G802" s="3"/>
      <c r="H802" s="3"/>
    </row>
    <row r="803" spans="4:8" ht="13" x14ac:dyDescent="0.15">
      <c r="D803" s="3"/>
      <c r="E803" s="3"/>
      <c r="F803" s="3"/>
      <c r="G803" s="3"/>
      <c r="H803" s="3"/>
    </row>
    <row r="804" spans="4:8" ht="13" x14ac:dyDescent="0.15">
      <c r="D804" s="3"/>
      <c r="E804" s="3"/>
      <c r="F804" s="3"/>
      <c r="G804" s="3"/>
      <c r="H804" s="3"/>
    </row>
    <row r="805" spans="4:8" ht="13" x14ac:dyDescent="0.15">
      <c r="D805" s="3"/>
      <c r="E805" s="3"/>
      <c r="F805" s="3"/>
      <c r="G805" s="3"/>
      <c r="H805" s="3"/>
    </row>
    <row r="806" spans="4:8" ht="13" x14ac:dyDescent="0.15">
      <c r="D806" s="3"/>
      <c r="E806" s="3"/>
      <c r="F806" s="3"/>
      <c r="G806" s="3"/>
      <c r="H806" s="3"/>
    </row>
    <row r="807" spans="4:8" ht="13" x14ac:dyDescent="0.15">
      <c r="D807" s="3"/>
      <c r="E807" s="3"/>
      <c r="F807" s="3"/>
      <c r="G807" s="3"/>
      <c r="H807" s="3"/>
    </row>
    <row r="808" spans="4:8" ht="13" x14ac:dyDescent="0.15">
      <c r="D808" s="3"/>
      <c r="E808" s="3"/>
      <c r="F808" s="3"/>
      <c r="G808" s="3"/>
      <c r="H808" s="3"/>
    </row>
    <row r="809" spans="4:8" ht="13" x14ac:dyDescent="0.15">
      <c r="D809" s="3"/>
      <c r="E809" s="3"/>
      <c r="F809" s="3"/>
      <c r="G809" s="3"/>
      <c r="H809" s="3"/>
    </row>
    <row r="810" spans="4:8" ht="13" x14ac:dyDescent="0.15">
      <c r="D810" s="3"/>
      <c r="E810" s="3"/>
      <c r="F810" s="3"/>
      <c r="G810" s="3"/>
      <c r="H810" s="3"/>
    </row>
    <row r="811" spans="4:8" ht="13" x14ac:dyDescent="0.15">
      <c r="D811" s="3"/>
      <c r="E811" s="3"/>
      <c r="F811" s="3"/>
      <c r="G811" s="3"/>
      <c r="H811" s="3"/>
    </row>
    <row r="812" spans="4:8" ht="13" x14ac:dyDescent="0.15">
      <c r="D812" s="3"/>
      <c r="E812" s="3"/>
      <c r="F812" s="3"/>
      <c r="G812" s="3"/>
      <c r="H812" s="3"/>
    </row>
    <row r="813" spans="4:8" ht="13" x14ac:dyDescent="0.15">
      <c r="D813" s="3"/>
      <c r="E813" s="3"/>
      <c r="F813" s="3"/>
      <c r="G813" s="3"/>
      <c r="H813" s="3"/>
    </row>
    <row r="814" spans="4:8" ht="13" x14ac:dyDescent="0.15">
      <c r="D814" s="3"/>
      <c r="E814" s="3"/>
      <c r="F814" s="3"/>
      <c r="G814" s="3"/>
      <c r="H814" s="3"/>
    </row>
    <row r="815" spans="4:8" ht="13" x14ac:dyDescent="0.15">
      <c r="D815" s="3"/>
      <c r="E815" s="3"/>
      <c r="F815" s="3"/>
      <c r="G815" s="3"/>
      <c r="H815" s="3"/>
    </row>
    <row r="816" spans="4:8" ht="13" x14ac:dyDescent="0.15">
      <c r="D816" s="3"/>
      <c r="E816" s="3"/>
      <c r="F816" s="3"/>
      <c r="G816" s="3"/>
      <c r="H816" s="3"/>
    </row>
    <row r="817" spans="4:8" ht="13" x14ac:dyDescent="0.15">
      <c r="D817" s="3"/>
      <c r="E817" s="3"/>
      <c r="F817" s="3"/>
      <c r="G817" s="3"/>
      <c r="H817" s="3"/>
    </row>
    <row r="818" spans="4:8" ht="13" x14ac:dyDescent="0.15">
      <c r="D818" s="3"/>
      <c r="E818" s="3"/>
      <c r="F818" s="3"/>
      <c r="G818" s="3"/>
      <c r="H818" s="3"/>
    </row>
    <row r="819" spans="4:8" ht="13" x14ac:dyDescent="0.15">
      <c r="D819" s="3"/>
      <c r="E819" s="3"/>
      <c r="F819" s="3"/>
      <c r="G819" s="3"/>
      <c r="H819" s="3"/>
    </row>
    <row r="820" spans="4:8" ht="13" x14ac:dyDescent="0.15">
      <c r="D820" s="3"/>
      <c r="E820" s="3"/>
      <c r="F820" s="3"/>
      <c r="G820" s="3"/>
      <c r="H820" s="3"/>
    </row>
    <row r="821" spans="4:8" ht="13" x14ac:dyDescent="0.15">
      <c r="D821" s="3"/>
      <c r="E821" s="3"/>
      <c r="F821" s="3"/>
      <c r="G821" s="3"/>
      <c r="H821" s="3"/>
    </row>
    <row r="822" spans="4:8" ht="13" x14ac:dyDescent="0.15">
      <c r="D822" s="3"/>
      <c r="E822" s="3"/>
      <c r="F822" s="3"/>
      <c r="G822" s="3"/>
      <c r="H822" s="3"/>
    </row>
    <row r="823" spans="4:8" ht="13" x14ac:dyDescent="0.15">
      <c r="D823" s="3"/>
      <c r="E823" s="3"/>
      <c r="F823" s="3"/>
      <c r="G823" s="3"/>
      <c r="H823" s="3"/>
    </row>
    <row r="824" spans="4:8" ht="13" x14ac:dyDescent="0.15">
      <c r="D824" s="3"/>
      <c r="E824" s="3"/>
      <c r="F824" s="3"/>
      <c r="G824" s="3"/>
      <c r="H824" s="3"/>
    </row>
    <row r="825" spans="4:8" ht="13" x14ac:dyDescent="0.15">
      <c r="D825" s="3"/>
      <c r="E825" s="3"/>
      <c r="F825" s="3"/>
      <c r="G825" s="3"/>
      <c r="H825" s="3"/>
    </row>
    <row r="826" spans="4:8" ht="13" x14ac:dyDescent="0.15">
      <c r="D826" s="3"/>
      <c r="E826" s="3"/>
      <c r="F826" s="3"/>
      <c r="G826" s="3"/>
      <c r="H826" s="3"/>
    </row>
    <row r="827" spans="4:8" ht="13" x14ac:dyDescent="0.15">
      <c r="D827" s="3"/>
      <c r="E827" s="3"/>
      <c r="F827" s="3"/>
      <c r="G827" s="3"/>
      <c r="H827" s="3"/>
    </row>
    <row r="828" spans="4:8" ht="13" x14ac:dyDescent="0.15">
      <c r="D828" s="3"/>
      <c r="E828" s="3"/>
      <c r="F828" s="3"/>
      <c r="G828" s="3"/>
      <c r="H828" s="3"/>
    </row>
    <row r="829" spans="4:8" ht="13" x14ac:dyDescent="0.15">
      <c r="D829" s="3"/>
      <c r="E829" s="3"/>
      <c r="F829" s="3"/>
      <c r="G829" s="3"/>
      <c r="H829" s="3"/>
    </row>
    <row r="830" spans="4:8" ht="13" x14ac:dyDescent="0.15">
      <c r="D830" s="3"/>
      <c r="E830" s="3"/>
      <c r="F830" s="3"/>
      <c r="G830" s="3"/>
      <c r="H830" s="3"/>
    </row>
    <row r="831" spans="4:8" ht="13" x14ac:dyDescent="0.15">
      <c r="D831" s="3"/>
      <c r="E831" s="3"/>
      <c r="F831" s="3"/>
      <c r="G831" s="3"/>
      <c r="H831" s="3"/>
    </row>
    <row r="832" spans="4:8" ht="13" x14ac:dyDescent="0.15">
      <c r="D832" s="3"/>
      <c r="E832" s="3"/>
      <c r="F832" s="3"/>
      <c r="G832" s="3"/>
      <c r="H832" s="3"/>
    </row>
    <row r="833" spans="4:8" ht="13" x14ac:dyDescent="0.15">
      <c r="D833" s="3"/>
      <c r="E833" s="3"/>
      <c r="F833" s="3"/>
      <c r="G833" s="3"/>
      <c r="H833" s="3"/>
    </row>
    <row r="834" spans="4:8" ht="13" x14ac:dyDescent="0.15">
      <c r="D834" s="3"/>
      <c r="E834" s="3"/>
      <c r="F834" s="3"/>
      <c r="G834" s="3"/>
      <c r="H834" s="3"/>
    </row>
    <row r="835" spans="4:8" ht="13" x14ac:dyDescent="0.15">
      <c r="D835" s="3"/>
      <c r="E835" s="3"/>
      <c r="F835" s="3"/>
      <c r="G835" s="3"/>
      <c r="H835" s="3"/>
    </row>
    <row r="836" spans="4:8" ht="13" x14ac:dyDescent="0.15">
      <c r="D836" s="3"/>
      <c r="E836" s="3"/>
      <c r="F836" s="3"/>
      <c r="G836" s="3"/>
      <c r="H836" s="3"/>
    </row>
    <row r="837" spans="4:8" ht="13" x14ac:dyDescent="0.15">
      <c r="D837" s="3"/>
      <c r="E837" s="3"/>
      <c r="F837" s="3"/>
      <c r="G837" s="3"/>
      <c r="H837" s="3"/>
    </row>
    <row r="838" spans="4:8" ht="13" x14ac:dyDescent="0.15">
      <c r="D838" s="3"/>
      <c r="E838" s="3"/>
      <c r="F838" s="3"/>
      <c r="G838" s="3"/>
      <c r="H838" s="3"/>
    </row>
    <row r="839" spans="4:8" ht="13" x14ac:dyDescent="0.15">
      <c r="D839" s="3"/>
      <c r="E839" s="3"/>
      <c r="F839" s="3"/>
      <c r="G839" s="3"/>
      <c r="H839" s="3"/>
    </row>
    <row r="840" spans="4:8" ht="13" x14ac:dyDescent="0.15">
      <c r="D840" s="3"/>
      <c r="E840" s="3"/>
      <c r="F840" s="3"/>
      <c r="G840" s="3"/>
      <c r="H840" s="3"/>
    </row>
    <row r="841" spans="4:8" ht="13" x14ac:dyDescent="0.15">
      <c r="D841" s="3"/>
      <c r="E841" s="3"/>
      <c r="F841" s="3"/>
      <c r="G841" s="3"/>
      <c r="H841" s="3"/>
    </row>
    <row r="842" spans="4:8" ht="13" x14ac:dyDescent="0.15">
      <c r="D842" s="3"/>
      <c r="E842" s="3"/>
      <c r="F842" s="3"/>
      <c r="G842" s="3"/>
      <c r="H842" s="3"/>
    </row>
    <row r="843" spans="4:8" ht="13" x14ac:dyDescent="0.15">
      <c r="D843" s="3"/>
      <c r="E843" s="3"/>
      <c r="F843" s="3"/>
      <c r="G843" s="3"/>
      <c r="H843" s="3"/>
    </row>
    <row r="844" spans="4:8" ht="13" x14ac:dyDescent="0.15">
      <c r="D844" s="3"/>
      <c r="E844" s="3"/>
      <c r="F844" s="3"/>
      <c r="G844" s="3"/>
      <c r="H844" s="3"/>
    </row>
    <row r="845" spans="4:8" ht="13" x14ac:dyDescent="0.15">
      <c r="D845" s="3"/>
      <c r="E845" s="3"/>
      <c r="F845" s="3"/>
      <c r="G845" s="3"/>
      <c r="H845" s="3"/>
    </row>
    <row r="846" spans="4:8" ht="13" x14ac:dyDescent="0.15">
      <c r="D846" s="3"/>
      <c r="E846" s="3"/>
      <c r="F846" s="3"/>
      <c r="G846" s="3"/>
      <c r="H846" s="3"/>
    </row>
    <row r="847" spans="4:8" ht="13" x14ac:dyDescent="0.15">
      <c r="D847" s="3"/>
      <c r="E847" s="3"/>
      <c r="F847" s="3"/>
      <c r="G847" s="3"/>
      <c r="H847" s="3"/>
    </row>
    <row r="848" spans="4:8" ht="13" x14ac:dyDescent="0.15">
      <c r="D848" s="3"/>
      <c r="E848" s="3"/>
      <c r="F848" s="3"/>
      <c r="G848" s="3"/>
      <c r="H848" s="3"/>
    </row>
    <row r="849" spans="4:8" ht="13" x14ac:dyDescent="0.15">
      <c r="D849" s="3"/>
      <c r="E849" s="3"/>
      <c r="F849" s="3"/>
      <c r="G849" s="3"/>
      <c r="H849" s="3"/>
    </row>
    <row r="850" spans="4:8" ht="13" x14ac:dyDescent="0.15">
      <c r="D850" s="3"/>
      <c r="E850" s="3"/>
      <c r="F850" s="3"/>
      <c r="G850" s="3"/>
      <c r="H850" s="3"/>
    </row>
    <row r="851" spans="4:8" ht="13" x14ac:dyDescent="0.15">
      <c r="D851" s="3"/>
      <c r="E851" s="3"/>
      <c r="F851" s="3"/>
      <c r="G851" s="3"/>
      <c r="H851" s="3"/>
    </row>
    <row r="852" spans="4:8" ht="13" x14ac:dyDescent="0.15">
      <c r="D852" s="3"/>
      <c r="E852" s="3"/>
      <c r="F852" s="3"/>
      <c r="G852" s="3"/>
      <c r="H852" s="3"/>
    </row>
    <row r="853" spans="4:8" ht="13" x14ac:dyDescent="0.15">
      <c r="D853" s="3"/>
      <c r="E853" s="3"/>
      <c r="F853" s="3"/>
      <c r="G853" s="3"/>
      <c r="H853" s="3"/>
    </row>
    <row r="854" spans="4:8" ht="13" x14ac:dyDescent="0.15">
      <c r="D854" s="3"/>
      <c r="E854" s="3"/>
      <c r="F854" s="3"/>
      <c r="G854" s="3"/>
      <c r="H854" s="3"/>
    </row>
    <row r="855" spans="4:8" ht="13" x14ac:dyDescent="0.15">
      <c r="D855" s="3"/>
      <c r="E855" s="3"/>
      <c r="F855" s="3"/>
      <c r="G855" s="3"/>
      <c r="H855" s="3"/>
    </row>
    <row r="856" spans="4:8" ht="13" x14ac:dyDescent="0.15">
      <c r="D856" s="3"/>
      <c r="E856" s="3"/>
      <c r="F856" s="3"/>
      <c r="G856" s="3"/>
      <c r="H856" s="3"/>
    </row>
    <row r="857" spans="4:8" ht="13" x14ac:dyDescent="0.15">
      <c r="D857" s="3"/>
      <c r="E857" s="3"/>
      <c r="F857" s="3"/>
      <c r="G857" s="3"/>
      <c r="H857" s="3"/>
    </row>
    <row r="858" spans="4:8" ht="13" x14ac:dyDescent="0.15">
      <c r="D858" s="3"/>
      <c r="E858" s="3"/>
      <c r="F858" s="3"/>
      <c r="G858" s="3"/>
      <c r="H858" s="3"/>
    </row>
    <row r="859" spans="4:8" ht="13" x14ac:dyDescent="0.15">
      <c r="D859" s="3"/>
      <c r="E859" s="3"/>
      <c r="F859" s="3"/>
      <c r="G859" s="3"/>
      <c r="H859" s="3"/>
    </row>
    <row r="860" spans="4:8" ht="13" x14ac:dyDescent="0.15">
      <c r="D860" s="3"/>
      <c r="E860" s="3"/>
      <c r="F860" s="3"/>
      <c r="G860" s="3"/>
      <c r="H860" s="3"/>
    </row>
    <row r="861" spans="4:8" ht="13" x14ac:dyDescent="0.15">
      <c r="D861" s="3"/>
      <c r="E861" s="3"/>
      <c r="F861" s="3"/>
      <c r="G861" s="3"/>
      <c r="H861" s="3"/>
    </row>
    <row r="862" spans="4:8" ht="13" x14ac:dyDescent="0.15">
      <c r="D862" s="3"/>
      <c r="E862" s="3"/>
      <c r="F862" s="3"/>
      <c r="G862" s="3"/>
      <c r="H862" s="3"/>
    </row>
    <row r="863" spans="4:8" ht="13" x14ac:dyDescent="0.15">
      <c r="D863" s="3"/>
      <c r="E863" s="3"/>
      <c r="F863" s="3"/>
      <c r="G863" s="3"/>
      <c r="H863" s="3"/>
    </row>
    <row r="864" spans="4:8" ht="13" x14ac:dyDescent="0.15">
      <c r="D864" s="3"/>
      <c r="E864" s="3"/>
      <c r="F864" s="3"/>
      <c r="G864" s="3"/>
      <c r="H864" s="3"/>
    </row>
    <row r="865" spans="4:8" ht="13" x14ac:dyDescent="0.15">
      <c r="D865" s="3"/>
      <c r="E865" s="3"/>
      <c r="F865" s="3"/>
      <c r="G865" s="3"/>
      <c r="H865" s="3"/>
    </row>
    <row r="866" spans="4:8" ht="13" x14ac:dyDescent="0.15">
      <c r="D866" s="3"/>
      <c r="E866" s="3"/>
      <c r="F866" s="3"/>
      <c r="G866" s="3"/>
      <c r="H866" s="3"/>
    </row>
    <row r="867" spans="4:8" ht="13" x14ac:dyDescent="0.15">
      <c r="D867" s="3"/>
      <c r="E867" s="3"/>
      <c r="F867" s="3"/>
      <c r="G867" s="3"/>
      <c r="H867" s="3"/>
    </row>
    <row r="868" spans="4:8" ht="13" x14ac:dyDescent="0.15">
      <c r="D868" s="3"/>
      <c r="E868" s="3"/>
      <c r="F868" s="3"/>
      <c r="G868" s="3"/>
      <c r="H868" s="3"/>
    </row>
    <row r="869" spans="4:8" ht="13" x14ac:dyDescent="0.15">
      <c r="D869" s="3"/>
      <c r="E869" s="3"/>
      <c r="F869" s="3"/>
      <c r="G869" s="3"/>
      <c r="H869" s="3"/>
    </row>
    <row r="870" spans="4:8" ht="13" x14ac:dyDescent="0.15">
      <c r="D870" s="3"/>
      <c r="E870" s="3"/>
      <c r="F870" s="3"/>
      <c r="G870" s="3"/>
      <c r="H870" s="3"/>
    </row>
    <row r="871" spans="4:8" ht="13" x14ac:dyDescent="0.15">
      <c r="D871" s="3"/>
      <c r="E871" s="3"/>
      <c r="F871" s="3"/>
      <c r="G871" s="3"/>
      <c r="H871" s="3"/>
    </row>
    <row r="872" spans="4:8" ht="13" x14ac:dyDescent="0.15">
      <c r="D872" s="3"/>
      <c r="E872" s="3"/>
      <c r="F872" s="3"/>
      <c r="G872" s="3"/>
      <c r="H872" s="3"/>
    </row>
    <row r="873" spans="4:8" ht="13" x14ac:dyDescent="0.15">
      <c r="D873" s="3"/>
      <c r="E873" s="3"/>
      <c r="F873" s="3"/>
      <c r="G873" s="3"/>
      <c r="H873" s="3"/>
    </row>
    <row r="874" spans="4:8" ht="13" x14ac:dyDescent="0.15">
      <c r="D874" s="3"/>
      <c r="E874" s="3"/>
      <c r="F874" s="3"/>
      <c r="G874" s="3"/>
      <c r="H874" s="3"/>
    </row>
    <row r="875" spans="4:8" ht="13" x14ac:dyDescent="0.15">
      <c r="D875" s="3"/>
      <c r="E875" s="3"/>
      <c r="F875" s="3"/>
      <c r="G875" s="3"/>
      <c r="H875" s="3"/>
    </row>
    <row r="876" spans="4:8" ht="13" x14ac:dyDescent="0.15">
      <c r="D876" s="3"/>
      <c r="E876" s="3"/>
      <c r="F876" s="3"/>
      <c r="G876" s="3"/>
      <c r="H876" s="3"/>
    </row>
    <row r="877" spans="4:8" ht="13" x14ac:dyDescent="0.15">
      <c r="D877" s="3"/>
      <c r="E877" s="3"/>
      <c r="F877" s="3"/>
      <c r="G877" s="3"/>
      <c r="H877" s="3"/>
    </row>
    <row r="878" spans="4:8" ht="13" x14ac:dyDescent="0.15">
      <c r="D878" s="3"/>
      <c r="E878" s="3"/>
      <c r="F878" s="3"/>
      <c r="G878" s="3"/>
      <c r="H878" s="3"/>
    </row>
    <row r="879" spans="4:8" ht="13" x14ac:dyDescent="0.15">
      <c r="D879" s="3"/>
      <c r="E879" s="3"/>
      <c r="F879" s="3"/>
      <c r="G879" s="3"/>
      <c r="H879" s="3"/>
    </row>
    <row r="880" spans="4:8" ht="13" x14ac:dyDescent="0.15">
      <c r="D880" s="3"/>
      <c r="E880" s="3"/>
      <c r="F880" s="3"/>
      <c r="G880" s="3"/>
      <c r="H880" s="3"/>
    </row>
    <row r="881" spans="4:8" ht="13" x14ac:dyDescent="0.15">
      <c r="D881" s="3"/>
      <c r="E881" s="3"/>
      <c r="F881" s="3"/>
      <c r="G881" s="3"/>
      <c r="H881" s="3"/>
    </row>
    <row r="882" spans="4:8" ht="13" x14ac:dyDescent="0.15">
      <c r="D882" s="3"/>
      <c r="E882" s="3"/>
      <c r="F882" s="3"/>
      <c r="G882" s="3"/>
      <c r="H882" s="3"/>
    </row>
    <row r="883" spans="4:8" ht="13" x14ac:dyDescent="0.15">
      <c r="D883" s="3"/>
      <c r="E883" s="3"/>
      <c r="F883" s="3"/>
      <c r="G883" s="3"/>
      <c r="H883" s="3"/>
    </row>
    <row r="884" spans="4:8" ht="13" x14ac:dyDescent="0.15">
      <c r="D884" s="3"/>
      <c r="E884" s="3"/>
      <c r="F884" s="3"/>
      <c r="G884" s="3"/>
      <c r="H884" s="3"/>
    </row>
    <row r="885" spans="4:8" ht="13" x14ac:dyDescent="0.15">
      <c r="D885" s="3"/>
      <c r="E885" s="3"/>
      <c r="F885" s="3"/>
      <c r="G885" s="3"/>
      <c r="H885" s="3"/>
    </row>
    <row r="886" spans="4:8" ht="13" x14ac:dyDescent="0.15">
      <c r="D886" s="3"/>
      <c r="E886" s="3"/>
      <c r="F886" s="3"/>
      <c r="G886" s="3"/>
      <c r="H886" s="3"/>
    </row>
    <row r="887" spans="4:8" ht="13" x14ac:dyDescent="0.15">
      <c r="D887" s="3"/>
      <c r="E887" s="3"/>
      <c r="F887" s="3"/>
      <c r="G887" s="3"/>
      <c r="H887" s="3"/>
    </row>
    <row r="888" spans="4:8" ht="13" x14ac:dyDescent="0.15">
      <c r="D888" s="3"/>
      <c r="E888" s="3"/>
      <c r="F888" s="3"/>
      <c r="G888" s="3"/>
      <c r="H888" s="3"/>
    </row>
    <row r="889" spans="4:8" ht="13" x14ac:dyDescent="0.15">
      <c r="D889" s="3"/>
      <c r="E889" s="3"/>
      <c r="F889" s="3"/>
      <c r="G889" s="3"/>
      <c r="H889" s="3"/>
    </row>
    <row r="890" spans="4:8" ht="13" x14ac:dyDescent="0.15">
      <c r="D890" s="3"/>
      <c r="E890" s="3"/>
      <c r="F890" s="3"/>
      <c r="G890" s="3"/>
      <c r="H890" s="3"/>
    </row>
    <row r="891" spans="4:8" ht="13" x14ac:dyDescent="0.15">
      <c r="D891" s="3"/>
      <c r="E891" s="3"/>
      <c r="F891" s="3"/>
      <c r="G891" s="3"/>
      <c r="H891" s="3"/>
    </row>
    <row r="892" spans="4:8" ht="13" x14ac:dyDescent="0.15">
      <c r="D892" s="3"/>
      <c r="E892" s="3"/>
      <c r="F892" s="3"/>
      <c r="G892" s="3"/>
      <c r="H892" s="3"/>
    </row>
    <row r="893" spans="4:8" ht="13" x14ac:dyDescent="0.15">
      <c r="D893" s="3"/>
      <c r="E893" s="3"/>
      <c r="F893" s="3"/>
      <c r="G893" s="3"/>
      <c r="H893" s="3"/>
    </row>
    <row r="894" spans="4:8" ht="13" x14ac:dyDescent="0.15">
      <c r="D894" s="3"/>
      <c r="E894" s="3"/>
      <c r="F894" s="3"/>
      <c r="G894" s="3"/>
      <c r="H894" s="3"/>
    </row>
    <row r="895" spans="4:8" ht="13" x14ac:dyDescent="0.15">
      <c r="D895" s="3"/>
      <c r="E895" s="3"/>
      <c r="F895" s="3"/>
      <c r="G895" s="3"/>
      <c r="H895" s="3"/>
    </row>
    <row r="896" spans="4:8" ht="13" x14ac:dyDescent="0.15">
      <c r="D896" s="3"/>
      <c r="E896" s="3"/>
      <c r="F896" s="3"/>
      <c r="G896" s="3"/>
      <c r="H896" s="3"/>
    </row>
    <row r="897" spans="4:8" ht="13" x14ac:dyDescent="0.15">
      <c r="D897" s="3"/>
      <c r="E897" s="3"/>
      <c r="F897" s="3"/>
      <c r="G897" s="3"/>
      <c r="H897" s="3"/>
    </row>
    <row r="898" spans="4:8" ht="13" x14ac:dyDescent="0.15">
      <c r="D898" s="3"/>
      <c r="E898" s="3"/>
      <c r="F898" s="3"/>
      <c r="G898" s="3"/>
      <c r="H898" s="3"/>
    </row>
    <row r="899" spans="4:8" ht="13" x14ac:dyDescent="0.15">
      <c r="D899" s="3"/>
      <c r="E899" s="3"/>
      <c r="F899" s="3"/>
      <c r="G899" s="3"/>
      <c r="H899" s="3"/>
    </row>
    <row r="900" spans="4:8" ht="13" x14ac:dyDescent="0.15">
      <c r="D900" s="3"/>
      <c r="E900" s="3"/>
      <c r="F900" s="3"/>
      <c r="G900" s="3"/>
      <c r="H900" s="3"/>
    </row>
    <row r="901" spans="4:8" ht="13" x14ac:dyDescent="0.15">
      <c r="D901" s="3"/>
      <c r="E901" s="3"/>
      <c r="F901" s="3"/>
      <c r="G901" s="3"/>
      <c r="H901" s="3"/>
    </row>
    <row r="902" spans="4:8" ht="13" x14ac:dyDescent="0.15">
      <c r="D902" s="3"/>
      <c r="E902" s="3"/>
      <c r="F902" s="3"/>
      <c r="G902" s="3"/>
      <c r="H902" s="3"/>
    </row>
    <row r="903" spans="4:8" ht="13" x14ac:dyDescent="0.15">
      <c r="D903" s="3"/>
      <c r="E903" s="3"/>
      <c r="F903" s="3"/>
      <c r="G903" s="3"/>
      <c r="H903" s="3"/>
    </row>
    <row r="904" spans="4:8" ht="13" x14ac:dyDescent="0.15">
      <c r="D904" s="3"/>
      <c r="E904" s="3"/>
      <c r="F904" s="3"/>
      <c r="G904" s="3"/>
      <c r="H904" s="3"/>
    </row>
    <row r="905" spans="4:8" ht="13" x14ac:dyDescent="0.15">
      <c r="D905" s="3"/>
      <c r="E905" s="3"/>
      <c r="F905" s="3"/>
      <c r="G905" s="3"/>
      <c r="H905" s="3"/>
    </row>
    <row r="906" spans="4:8" ht="13" x14ac:dyDescent="0.15">
      <c r="D906" s="3"/>
      <c r="E906" s="3"/>
      <c r="F906" s="3"/>
      <c r="G906" s="3"/>
      <c r="H906" s="3"/>
    </row>
    <row r="907" spans="4:8" ht="13" x14ac:dyDescent="0.15">
      <c r="D907" s="3"/>
      <c r="E907" s="3"/>
      <c r="F907" s="3"/>
      <c r="G907" s="3"/>
      <c r="H907" s="3"/>
    </row>
    <row r="908" spans="4:8" ht="13" x14ac:dyDescent="0.15">
      <c r="D908" s="3"/>
      <c r="E908" s="3"/>
      <c r="F908" s="3"/>
      <c r="G908" s="3"/>
      <c r="H908" s="3"/>
    </row>
    <row r="909" spans="4:8" ht="13" x14ac:dyDescent="0.15">
      <c r="D909" s="3"/>
      <c r="E909" s="3"/>
      <c r="F909" s="3"/>
      <c r="G909" s="3"/>
      <c r="H909" s="3"/>
    </row>
    <row r="910" spans="4:8" ht="13" x14ac:dyDescent="0.15">
      <c r="D910" s="3"/>
      <c r="E910" s="3"/>
      <c r="F910" s="3"/>
      <c r="G910" s="3"/>
      <c r="H910" s="3"/>
    </row>
    <row r="911" spans="4:8" ht="13" x14ac:dyDescent="0.15">
      <c r="D911" s="3"/>
      <c r="E911" s="3"/>
      <c r="F911" s="3"/>
      <c r="G911" s="3"/>
      <c r="H911" s="3"/>
    </row>
    <row r="912" spans="4:8" ht="13" x14ac:dyDescent="0.15">
      <c r="D912" s="3"/>
      <c r="E912" s="3"/>
      <c r="F912" s="3"/>
      <c r="G912" s="3"/>
      <c r="H912" s="3"/>
    </row>
    <row r="913" spans="4:8" ht="13" x14ac:dyDescent="0.15">
      <c r="D913" s="3"/>
      <c r="E913" s="3"/>
      <c r="F913" s="3"/>
      <c r="G913" s="3"/>
      <c r="H913" s="3"/>
    </row>
    <row r="914" spans="4:8" ht="13" x14ac:dyDescent="0.15">
      <c r="D914" s="3"/>
      <c r="E914" s="3"/>
      <c r="F914" s="3"/>
      <c r="G914" s="3"/>
      <c r="H914" s="3"/>
    </row>
    <row r="915" spans="4:8" ht="13" x14ac:dyDescent="0.15">
      <c r="D915" s="3"/>
      <c r="E915" s="3"/>
      <c r="F915" s="3"/>
      <c r="G915" s="3"/>
      <c r="H915" s="3"/>
    </row>
    <row r="916" spans="4:8" ht="13" x14ac:dyDescent="0.15">
      <c r="D916" s="3"/>
      <c r="E916" s="3"/>
      <c r="F916" s="3"/>
      <c r="G916" s="3"/>
      <c r="H916" s="3"/>
    </row>
    <row r="917" spans="4:8" ht="13" x14ac:dyDescent="0.15">
      <c r="D917" s="3"/>
      <c r="E917" s="3"/>
      <c r="F917" s="3"/>
      <c r="G917" s="3"/>
      <c r="H917" s="3"/>
    </row>
    <row r="918" spans="4:8" ht="13" x14ac:dyDescent="0.15">
      <c r="D918" s="3"/>
      <c r="E918" s="3"/>
      <c r="F918" s="3"/>
      <c r="G918" s="3"/>
      <c r="H918" s="3"/>
    </row>
    <row r="919" spans="4:8" ht="13" x14ac:dyDescent="0.15">
      <c r="D919" s="3"/>
      <c r="E919" s="3"/>
      <c r="F919" s="3"/>
      <c r="G919" s="3"/>
      <c r="H919" s="3"/>
    </row>
    <row r="920" spans="4:8" ht="13" x14ac:dyDescent="0.15">
      <c r="D920" s="3"/>
      <c r="E920" s="3"/>
      <c r="F920" s="3"/>
      <c r="G920" s="3"/>
      <c r="H920" s="3"/>
    </row>
    <row r="921" spans="4:8" ht="13" x14ac:dyDescent="0.15">
      <c r="D921" s="3"/>
      <c r="E921" s="3"/>
      <c r="F921" s="3"/>
      <c r="G921" s="3"/>
      <c r="H921" s="3"/>
    </row>
    <row r="922" spans="4:8" ht="13" x14ac:dyDescent="0.15">
      <c r="D922" s="3"/>
      <c r="E922" s="3"/>
      <c r="F922" s="3"/>
      <c r="G922" s="3"/>
      <c r="H922" s="3"/>
    </row>
    <row r="923" spans="4:8" ht="13" x14ac:dyDescent="0.15">
      <c r="D923" s="3"/>
      <c r="E923" s="3"/>
      <c r="F923" s="3"/>
      <c r="G923" s="3"/>
      <c r="H923" s="3"/>
    </row>
    <row r="924" spans="4:8" ht="13" x14ac:dyDescent="0.15">
      <c r="D924" s="3"/>
      <c r="E924" s="3"/>
      <c r="F924" s="3"/>
      <c r="G924" s="3"/>
      <c r="H924" s="3"/>
    </row>
    <row r="925" spans="4:8" ht="13" x14ac:dyDescent="0.15">
      <c r="D925" s="3"/>
      <c r="E925" s="3"/>
      <c r="F925" s="3"/>
      <c r="G925" s="3"/>
      <c r="H925" s="3"/>
    </row>
    <row r="926" spans="4:8" ht="13" x14ac:dyDescent="0.15">
      <c r="D926" s="3"/>
      <c r="E926" s="3"/>
      <c r="F926" s="3"/>
      <c r="G926" s="3"/>
      <c r="H926" s="3"/>
    </row>
    <row r="927" spans="4:8" ht="13" x14ac:dyDescent="0.15">
      <c r="D927" s="3"/>
      <c r="E927" s="3"/>
      <c r="F927" s="3"/>
      <c r="G927" s="3"/>
      <c r="H927" s="3"/>
    </row>
    <row r="928" spans="4:8" ht="13" x14ac:dyDescent="0.15">
      <c r="D928" s="3"/>
      <c r="E928" s="3"/>
      <c r="F928" s="3"/>
      <c r="G928" s="3"/>
      <c r="H928" s="3"/>
    </row>
    <row r="929" spans="4:8" ht="13" x14ac:dyDescent="0.15">
      <c r="D929" s="3"/>
      <c r="E929" s="3"/>
      <c r="F929" s="3"/>
      <c r="G929" s="3"/>
      <c r="H929" s="3"/>
    </row>
    <row r="930" spans="4:8" ht="13" x14ac:dyDescent="0.15">
      <c r="D930" s="3"/>
      <c r="E930" s="3"/>
      <c r="F930" s="3"/>
      <c r="G930" s="3"/>
      <c r="H930" s="3"/>
    </row>
    <row r="931" spans="4:8" ht="13" x14ac:dyDescent="0.15">
      <c r="D931" s="3"/>
      <c r="E931" s="3"/>
      <c r="F931" s="3"/>
      <c r="G931" s="3"/>
      <c r="H931" s="3"/>
    </row>
    <row r="932" spans="4:8" ht="13" x14ac:dyDescent="0.15">
      <c r="D932" s="3"/>
      <c r="E932" s="3"/>
      <c r="F932" s="3"/>
      <c r="G932" s="3"/>
      <c r="H932" s="3"/>
    </row>
    <row r="933" spans="4:8" ht="13" x14ac:dyDescent="0.15">
      <c r="D933" s="3"/>
      <c r="E933" s="3"/>
      <c r="F933" s="3"/>
      <c r="G933" s="3"/>
      <c r="H933" s="3"/>
    </row>
    <row r="934" spans="4:8" ht="13" x14ac:dyDescent="0.15">
      <c r="D934" s="3"/>
      <c r="E934" s="3"/>
      <c r="F934" s="3"/>
      <c r="G934" s="3"/>
      <c r="H934" s="3"/>
    </row>
    <row r="935" spans="4:8" ht="13" x14ac:dyDescent="0.15">
      <c r="D935" s="3"/>
      <c r="E935" s="3"/>
      <c r="F935" s="3"/>
      <c r="G935" s="3"/>
      <c r="H935" s="3"/>
    </row>
    <row r="936" spans="4:8" ht="13" x14ac:dyDescent="0.15">
      <c r="D936" s="3"/>
      <c r="E936" s="3"/>
      <c r="F936" s="3"/>
      <c r="G936" s="3"/>
      <c r="H936" s="3"/>
    </row>
    <row r="937" spans="4:8" ht="13" x14ac:dyDescent="0.15">
      <c r="D937" s="3"/>
      <c r="E937" s="3"/>
      <c r="F937" s="3"/>
      <c r="G937" s="3"/>
      <c r="H937" s="3"/>
    </row>
    <row r="938" spans="4:8" ht="13" x14ac:dyDescent="0.15">
      <c r="D938" s="3"/>
      <c r="E938" s="3"/>
      <c r="F938" s="3"/>
      <c r="G938" s="3"/>
      <c r="H938" s="3"/>
    </row>
    <row r="939" spans="4:8" ht="13" x14ac:dyDescent="0.15">
      <c r="D939" s="3"/>
      <c r="E939" s="3"/>
      <c r="F939" s="3"/>
      <c r="G939" s="3"/>
      <c r="H939" s="3"/>
    </row>
    <row r="940" spans="4:8" ht="13" x14ac:dyDescent="0.15">
      <c r="D940" s="3"/>
      <c r="E940" s="3"/>
      <c r="F940" s="3"/>
      <c r="G940" s="3"/>
      <c r="H940" s="3"/>
    </row>
    <row r="941" spans="4:8" ht="13" x14ac:dyDescent="0.15">
      <c r="D941" s="3"/>
      <c r="E941" s="3"/>
      <c r="F941" s="3"/>
      <c r="G941" s="3"/>
      <c r="H941" s="3"/>
    </row>
    <row r="942" spans="4:8" ht="13" x14ac:dyDescent="0.15">
      <c r="D942" s="3"/>
      <c r="E942" s="3"/>
      <c r="F942" s="3"/>
      <c r="G942" s="3"/>
      <c r="H942" s="3"/>
    </row>
    <row r="943" spans="4:8" ht="13" x14ac:dyDescent="0.15">
      <c r="D943" s="3"/>
      <c r="E943" s="3"/>
      <c r="F943" s="3"/>
      <c r="G943" s="3"/>
      <c r="H943" s="3"/>
    </row>
    <row r="944" spans="4:8" ht="13" x14ac:dyDescent="0.15">
      <c r="D944" s="3"/>
      <c r="E944" s="3"/>
      <c r="F944" s="3"/>
      <c r="G944" s="3"/>
      <c r="H944" s="3"/>
    </row>
    <row r="945" spans="4:8" ht="13" x14ac:dyDescent="0.15">
      <c r="D945" s="3"/>
      <c r="E945" s="3"/>
      <c r="F945" s="3"/>
      <c r="G945" s="3"/>
      <c r="H945" s="3"/>
    </row>
    <row r="946" spans="4:8" ht="13" x14ac:dyDescent="0.15">
      <c r="D946" s="3"/>
      <c r="E946" s="3"/>
      <c r="F946" s="3"/>
      <c r="G946" s="3"/>
      <c r="H946" s="3"/>
    </row>
    <row r="947" spans="4:8" ht="13" x14ac:dyDescent="0.15">
      <c r="D947" s="3"/>
      <c r="E947" s="3"/>
      <c r="F947" s="3"/>
      <c r="G947" s="3"/>
      <c r="H947" s="3"/>
    </row>
    <row r="948" spans="4:8" ht="13" x14ac:dyDescent="0.15">
      <c r="D948" s="3"/>
      <c r="E948" s="3"/>
      <c r="F948" s="3"/>
      <c r="G948" s="3"/>
      <c r="H948" s="3"/>
    </row>
    <row r="949" spans="4:8" ht="13" x14ac:dyDescent="0.15">
      <c r="D949" s="3"/>
      <c r="E949" s="3"/>
      <c r="F949" s="3"/>
      <c r="G949" s="3"/>
      <c r="H949" s="3"/>
    </row>
    <row r="950" spans="4:8" ht="13" x14ac:dyDescent="0.15">
      <c r="D950" s="3"/>
      <c r="E950" s="3"/>
      <c r="F950" s="3"/>
      <c r="G950" s="3"/>
      <c r="H950" s="3"/>
    </row>
    <row r="951" spans="4:8" ht="13" x14ac:dyDescent="0.15">
      <c r="D951" s="3"/>
      <c r="E951" s="3"/>
      <c r="F951" s="3"/>
      <c r="G951" s="3"/>
      <c r="H951" s="3"/>
    </row>
    <row r="952" spans="4:8" ht="13" x14ac:dyDescent="0.15">
      <c r="D952" s="3"/>
      <c r="E952" s="3"/>
      <c r="F952" s="3"/>
      <c r="G952" s="3"/>
      <c r="H952" s="3"/>
    </row>
    <row r="953" spans="4:8" ht="13" x14ac:dyDescent="0.15">
      <c r="D953" s="3"/>
      <c r="E953" s="3"/>
      <c r="F953" s="3"/>
      <c r="G953" s="3"/>
      <c r="H953" s="3"/>
    </row>
    <row r="954" spans="4:8" ht="13" x14ac:dyDescent="0.15">
      <c r="D954" s="3"/>
      <c r="E954" s="3"/>
      <c r="F954" s="3"/>
      <c r="G954" s="3"/>
      <c r="H954" s="3"/>
    </row>
    <row r="955" spans="4:8" ht="13" x14ac:dyDescent="0.15">
      <c r="D955" s="3"/>
      <c r="E955" s="3"/>
      <c r="F955" s="3"/>
      <c r="G955" s="3"/>
      <c r="H955" s="3"/>
    </row>
    <row r="956" spans="4:8" ht="13" x14ac:dyDescent="0.15">
      <c r="D956" s="3"/>
      <c r="E956" s="3"/>
      <c r="F956" s="3"/>
      <c r="G956" s="3"/>
      <c r="H956" s="3"/>
    </row>
    <row r="957" spans="4:8" ht="13" x14ac:dyDescent="0.15">
      <c r="D957" s="3"/>
      <c r="E957" s="3"/>
      <c r="F957" s="3"/>
      <c r="G957" s="3"/>
      <c r="H957" s="3"/>
    </row>
    <row r="958" spans="4:8" ht="13" x14ac:dyDescent="0.15">
      <c r="D958" s="3"/>
      <c r="E958" s="3"/>
      <c r="F958" s="3"/>
      <c r="G958" s="3"/>
      <c r="H958" s="3"/>
    </row>
    <row r="959" spans="4:8" ht="13" x14ac:dyDescent="0.15">
      <c r="D959" s="3"/>
      <c r="E959" s="3"/>
      <c r="F959" s="3"/>
      <c r="G959" s="3"/>
      <c r="H959" s="3"/>
    </row>
    <row r="960" spans="4:8" ht="13" x14ac:dyDescent="0.15">
      <c r="D960" s="3"/>
      <c r="E960" s="3"/>
      <c r="F960" s="3"/>
      <c r="G960" s="3"/>
      <c r="H960" s="3"/>
    </row>
    <row r="961" spans="4:8" ht="13" x14ac:dyDescent="0.15">
      <c r="D961" s="3"/>
      <c r="E961" s="3"/>
      <c r="F961" s="3"/>
      <c r="G961" s="3"/>
      <c r="H961" s="3"/>
    </row>
    <row r="962" spans="4:8" ht="13" x14ac:dyDescent="0.15">
      <c r="D962" s="3"/>
      <c r="E962" s="3"/>
      <c r="F962" s="3"/>
      <c r="G962" s="3"/>
      <c r="H962" s="3"/>
    </row>
    <row r="963" spans="4:8" ht="13" x14ac:dyDescent="0.15">
      <c r="D963" s="3"/>
      <c r="E963" s="3"/>
      <c r="F963" s="3"/>
      <c r="G963" s="3"/>
      <c r="H963" s="3"/>
    </row>
    <row r="964" spans="4:8" ht="13" x14ac:dyDescent="0.15">
      <c r="D964" s="3"/>
      <c r="E964" s="3"/>
      <c r="F964" s="3"/>
      <c r="G964" s="3"/>
      <c r="H964" s="3"/>
    </row>
    <row r="965" spans="4:8" ht="13" x14ac:dyDescent="0.15">
      <c r="D965" s="3"/>
      <c r="E965" s="3"/>
      <c r="F965" s="3"/>
      <c r="G965" s="3"/>
      <c r="H965" s="3"/>
    </row>
    <row r="966" spans="4:8" ht="13" x14ac:dyDescent="0.15">
      <c r="D966" s="3"/>
      <c r="E966" s="3"/>
      <c r="F966" s="3"/>
      <c r="G966" s="3"/>
      <c r="H966" s="3"/>
    </row>
    <row r="967" spans="4:8" ht="13" x14ac:dyDescent="0.15">
      <c r="D967" s="3"/>
      <c r="E967" s="3"/>
      <c r="F967" s="3"/>
      <c r="G967" s="3"/>
      <c r="H967" s="3"/>
    </row>
    <row r="968" spans="4:8" ht="13" x14ac:dyDescent="0.15">
      <c r="D968" s="3"/>
      <c r="E968" s="3"/>
      <c r="F968" s="3"/>
      <c r="G968" s="3"/>
      <c r="H968" s="3"/>
    </row>
    <row r="969" spans="4:8" ht="13" x14ac:dyDescent="0.15">
      <c r="D969" s="3"/>
      <c r="E969" s="3"/>
      <c r="F969" s="3"/>
      <c r="G969" s="3"/>
      <c r="H969" s="3"/>
    </row>
    <row r="970" spans="4:8" ht="13" x14ac:dyDescent="0.15">
      <c r="D970" s="3"/>
      <c r="E970" s="3"/>
      <c r="F970" s="3"/>
      <c r="G970" s="3"/>
      <c r="H970" s="3"/>
    </row>
    <row r="971" spans="4:8" ht="13" x14ac:dyDescent="0.15">
      <c r="D971" s="3"/>
      <c r="E971" s="3"/>
      <c r="F971" s="3"/>
      <c r="G971" s="3"/>
      <c r="H971" s="3"/>
    </row>
    <row r="972" spans="4:8" ht="13" x14ac:dyDescent="0.15">
      <c r="D972" s="3"/>
      <c r="E972" s="3"/>
      <c r="F972" s="3"/>
      <c r="G972" s="3"/>
      <c r="H972" s="3"/>
    </row>
    <row r="973" spans="4:8" ht="13" x14ac:dyDescent="0.15">
      <c r="D973" s="3"/>
      <c r="E973" s="3"/>
      <c r="F973" s="3"/>
      <c r="G973" s="3"/>
      <c r="H973" s="3"/>
    </row>
    <row r="974" spans="4:8" ht="13" x14ac:dyDescent="0.15">
      <c r="D974" s="3"/>
      <c r="E974" s="3"/>
      <c r="F974" s="3"/>
      <c r="G974" s="3"/>
      <c r="H974" s="3"/>
    </row>
    <row r="975" spans="4:8" ht="13" x14ac:dyDescent="0.15">
      <c r="D975" s="3"/>
      <c r="E975" s="3"/>
      <c r="F975" s="3"/>
      <c r="G975" s="3"/>
      <c r="H975" s="3"/>
    </row>
    <row r="976" spans="4:8" ht="13" x14ac:dyDescent="0.15">
      <c r="D976" s="3"/>
      <c r="E976" s="3"/>
      <c r="F976" s="3"/>
      <c r="G976" s="3"/>
      <c r="H976" s="3"/>
    </row>
    <row r="977" spans="4:8" ht="13" x14ac:dyDescent="0.15">
      <c r="D977" s="3"/>
      <c r="E977" s="3"/>
      <c r="F977" s="3"/>
      <c r="G977" s="3"/>
      <c r="H977" s="3"/>
    </row>
    <row r="978" spans="4:8" ht="13" x14ac:dyDescent="0.15">
      <c r="D978" s="3"/>
      <c r="E978" s="3"/>
      <c r="F978" s="3"/>
      <c r="G978" s="3"/>
      <c r="H978" s="3"/>
    </row>
    <row r="979" spans="4:8" ht="13" x14ac:dyDescent="0.15">
      <c r="D979" s="3"/>
      <c r="E979" s="3"/>
      <c r="F979" s="3"/>
      <c r="G979" s="3"/>
      <c r="H979" s="3"/>
    </row>
    <row r="980" spans="4:8" ht="13" x14ac:dyDescent="0.15">
      <c r="D980" s="3"/>
      <c r="E980" s="3"/>
      <c r="F980" s="3"/>
      <c r="G980" s="3"/>
      <c r="H980" s="3"/>
    </row>
    <row r="981" spans="4:8" ht="13" x14ac:dyDescent="0.15">
      <c r="D981" s="3"/>
      <c r="E981" s="3"/>
      <c r="F981" s="3"/>
      <c r="G981" s="3"/>
      <c r="H981" s="3"/>
    </row>
    <row r="982" spans="4:8" ht="13" x14ac:dyDescent="0.15">
      <c r="D982" s="3"/>
      <c r="E982" s="3"/>
      <c r="F982" s="3"/>
      <c r="G982" s="3"/>
      <c r="H982" s="3"/>
    </row>
    <row r="983" spans="4:8" ht="13" x14ac:dyDescent="0.15">
      <c r="D983" s="3"/>
      <c r="E983" s="3"/>
      <c r="F983" s="3"/>
      <c r="G983" s="3"/>
      <c r="H983" s="3"/>
    </row>
    <row r="984" spans="4:8" ht="13" x14ac:dyDescent="0.15">
      <c r="D984" s="3"/>
      <c r="E984" s="3"/>
      <c r="F984" s="3"/>
      <c r="G984" s="3"/>
      <c r="H984" s="3"/>
    </row>
    <row r="985" spans="4:8" ht="13" x14ac:dyDescent="0.15">
      <c r="D985" s="3"/>
      <c r="E985" s="3"/>
      <c r="F985" s="3"/>
      <c r="G985" s="3"/>
      <c r="H985" s="3"/>
    </row>
    <row r="986" spans="4:8" ht="13" x14ac:dyDescent="0.15">
      <c r="D986" s="3"/>
      <c r="E986" s="3"/>
      <c r="F986" s="3"/>
      <c r="G986" s="3"/>
      <c r="H986" s="3"/>
    </row>
    <row r="987" spans="4:8" ht="13" x14ac:dyDescent="0.15">
      <c r="D987" s="3"/>
      <c r="E987" s="3"/>
      <c r="F987" s="3"/>
      <c r="G987" s="3"/>
      <c r="H987" s="3"/>
    </row>
    <row r="988" spans="4:8" ht="13" x14ac:dyDescent="0.15">
      <c r="D988" s="3"/>
      <c r="E988" s="3"/>
      <c r="F988" s="3"/>
      <c r="G988" s="3"/>
      <c r="H988" s="3"/>
    </row>
    <row r="989" spans="4:8" ht="13" x14ac:dyDescent="0.15">
      <c r="D989" s="3"/>
      <c r="E989" s="3"/>
      <c r="F989" s="3"/>
      <c r="G989" s="3"/>
      <c r="H989" s="3"/>
    </row>
    <row r="990" spans="4:8" ht="13" x14ac:dyDescent="0.15">
      <c r="D990" s="3"/>
      <c r="E990" s="3"/>
      <c r="F990" s="3"/>
      <c r="G990" s="3"/>
      <c r="H990" s="3"/>
    </row>
    <row r="991" spans="4:8" ht="13" x14ac:dyDescent="0.15">
      <c r="D991" s="3"/>
      <c r="E991" s="3"/>
      <c r="F991" s="3"/>
      <c r="G991" s="3"/>
      <c r="H991" s="3"/>
    </row>
    <row r="992" spans="4:8" ht="13" x14ac:dyDescent="0.15">
      <c r="D992" s="3"/>
      <c r="E992" s="3"/>
      <c r="F992" s="3"/>
      <c r="G992" s="3"/>
      <c r="H992" s="3"/>
    </row>
    <row r="993" spans="4:8" ht="13" x14ac:dyDescent="0.15">
      <c r="D993" s="3"/>
      <c r="E993" s="3"/>
      <c r="F993" s="3"/>
      <c r="G993" s="3"/>
      <c r="H993" s="3"/>
    </row>
    <row r="994" spans="4:8" ht="13" x14ac:dyDescent="0.15">
      <c r="D994" s="3"/>
      <c r="E994" s="3"/>
      <c r="F994" s="3"/>
      <c r="G994" s="3"/>
      <c r="H994" s="3"/>
    </row>
    <row r="995" spans="4:8" ht="13" x14ac:dyDescent="0.15">
      <c r="D995" s="3"/>
      <c r="E995" s="3"/>
      <c r="F995" s="3"/>
      <c r="G995" s="3"/>
      <c r="H995" s="3"/>
    </row>
    <row r="996" spans="4:8" ht="13" x14ac:dyDescent="0.15">
      <c r="D996" s="3"/>
      <c r="E996" s="3"/>
      <c r="F996" s="3"/>
      <c r="G996" s="3"/>
      <c r="H996" s="3"/>
    </row>
    <row r="997" spans="4:8" ht="13" x14ac:dyDescent="0.15">
      <c r="D997" s="3"/>
      <c r="E997" s="3"/>
      <c r="F997" s="3"/>
      <c r="G997" s="3"/>
      <c r="H997" s="3"/>
    </row>
    <row r="998" spans="4:8" ht="13" x14ac:dyDescent="0.15">
      <c r="D998" s="3"/>
      <c r="E998" s="3"/>
      <c r="F998" s="3"/>
      <c r="G998" s="3"/>
      <c r="H998" s="3"/>
    </row>
    <row r="999" spans="4:8" ht="13" x14ac:dyDescent="0.15">
      <c r="D999" s="3"/>
      <c r="E999" s="3"/>
      <c r="F999" s="3"/>
      <c r="G999" s="3"/>
      <c r="H999" s="3"/>
    </row>
    <row r="1000" spans="4:8" ht="13" x14ac:dyDescent="0.15">
      <c r="D1000" s="3"/>
      <c r="E1000" s="3"/>
      <c r="F1000" s="3"/>
      <c r="G1000" s="3"/>
      <c r="H10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N80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2" width="33" customWidth="1"/>
    <col min="3" max="3" width="33.6640625" customWidth="1"/>
  </cols>
  <sheetData>
    <row r="1" spans="2:14" ht="15.75" customHeight="1" x14ac:dyDescent="0.15">
      <c r="B1" s="2" t="s">
        <v>134</v>
      </c>
      <c r="C1" s="2" t="s">
        <v>135</v>
      </c>
    </row>
    <row r="2" spans="2:14" ht="15.75" customHeight="1" x14ac:dyDescent="0.15">
      <c r="B2" s="4"/>
      <c r="C2" s="34"/>
      <c r="D2" s="34"/>
    </row>
    <row r="3" spans="2:14" ht="15.75" customHeight="1" x14ac:dyDescent="0.15">
      <c r="B3" s="6" t="s">
        <v>1</v>
      </c>
      <c r="C3" s="6"/>
      <c r="D3" s="7">
        <v>2020</v>
      </c>
      <c r="E3" s="7">
        <v>2021</v>
      </c>
      <c r="F3" s="7">
        <v>2022</v>
      </c>
      <c r="G3" s="7">
        <v>2023</v>
      </c>
      <c r="H3" s="7">
        <v>2024</v>
      </c>
    </row>
    <row r="4" spans="2:14" ht="15.75" customHeight="1" x14ac:dyDescent="0.15">
      <c r="B4" s="35" t="s">
        <v>136</v>
      </c>
      <c r="C4" s="36" t="s">
        <v>137</v>
      </c>
    </row>
    <row r="5" spans="2:14" ht="15.75" customHeight="1" x14ac:dyDescent="0.15">
      <c r="B5" s="2" t="s">
        <v>138</v>
      </c>
      <c r="C5" s="2" t="s">
        <v>139</v>
      </c>
      <c r="D5" s="37">
        <v>51682390</v>
      </c>
      <c r="E5" s="37">
        <v>66372422</v>
      </c>
      <c r="F5" s="37">
        <v>74736807</v>
      </c>
      <c r="G5" s="37">
        <v>66431396</v>
      </c>
      <c r="H5" s="37">
        <v>66841283</v>
      </c>
    </row>
    <row r="6" spans="2:14" ht="15.75" customHeight="1" x14ac:dyDescent="0.15">
      <c r="B6" s="4" t="s">
        <v>140</v>
      </c>
      <c r="C6" s="4" t="s">
        <v>141</v>
      </c>
      <c r="D6" s="38">
        <v>18529846</v>
      </c>
      <c r="E6" s="38">
        <v>24685051</v>
      </c>
      <c r="F6" s="38">
        <v>29756512</v>
      </c>
      <c r="G6" s="38">
        <v>26341968</v>
      </c>
      <c r="H6" s="38">
        <v>26665218</v>
      </c>
    </row>
    <row r="7" spans="2:14" ht="15.75" customHeight="1" x14ac:dyDescent="0.15">
      <c r="B7" s="11" t="s">
        <v>142</v>
      </c>
      <c r="C7" s="11" t="s">
        <v>143</v>
      </c>
      <c r="D7" s="39">
        <v>33152544</v>
      </c>
      <c r="E7" s="39">
        <v>41687371</v>
      </c>
      <c r="F7" s="39">
        <v>44980295</v>
      </c>
      <c r="G7" s="39">
        <v>40089428</v>
      </c>
      <c r="H7" s="39">
        <v>40176066</v>
      </c>
    </row>
    <row r="8" spans="2:14" ht="15.75" customHeight="1" x14ac:dyDescent="0.15">
      <c r="B8" s="4" t="s">
        <v>144</v>
      </c>
      <c r="C8" s="4" t="s">
        <v>145</v>
      </c>
      <c r="D8" s="38">
        <v>20234731</v>
      </c>
      <c r="E8" s="38">
        <v>21374972</v>
      </c>
      <c r="F8" s="38">
        <v>24232245</v>
      </c>
      <c r="G8" s="38">
        <v>23159983</v>
      </c>
      <c r="H8" s="38">
        <v>23765651</v>
      </c>
    </row>
    <row r="9" spans="2:14" ht="15.75" customHeight="1" x14ac:dyDescent="0.15">
      <c r="B9" s="4" t="s">
        <v>146</v>
      </c>
      <c r="C9" s="40" t="s">
        <v>147</v>
      </c>
      <c r="D9" s="38">
        <v>8381949</v>
      </c>
      <c r="E9" s="38">
        <v>9691297</v>
      </c>
      <c r="F9" s="38">
        <v>10641735</v>
      </c>
      <c r="G9" s="38">
        <v>10621442</v>
      </c>
      <c r="H9" s="38">
        <v>10978937</v>
      </c>
    </row>
    <row r="10" spans="2:14" ht="15.75" customHeight="1" x14ac:dyDescent="0.15">
      <c r="B10" s="4" t="s">
        <v>148</v>
      </c>
      <c r="C10" s="4" t="s">
        <v>9</v>
      </c>
      <c r="D10" s="38">
        <v>465768</v>
      </c>
      <c r="E10" s="38">
        <v>586570</v>
      </c>
      <c r="F10" s="38">
        <v>607917</v>
      </c>
      <c r="G10" s="38">
        <v>594470</v>
      </c>
      <c r="H10" s="38">
        <v>598272</v>
      </c>
    </row>
    <row r="11" spans="2:14" ht="15.75" customHeight="1" x14ac:dyDescent="0.15">
      <c r="B11" s="4" t="s">
        <v>149</v>
      </c>
      <c r="C11" s="4" t="s">
        <v>4</v>
      </c>
      <c r="D11" s="38">
        <v>1424473</v>
      </c>
      <c r="E11" s="41">
        <v>2909227</v>
      </c>
      <c r="F11" s="41">
        <v>3748665</v>
      </c>
      <c r="G11" s="38">
        <v>1521042</v>
      </c>
      <c r="H11" s="38">
        <v>1239673</v>
      </c>
    </row>
    <row r="12" spans="2:14" ht="15.75" customHeight="1" x14ac:dyDescent="0.15">
      <c r="B12" s="10" t="s">
        <v>150</v>
      </c>
      <c r="C12" s="16" t="s">
        <v>11</v>
      </c>
      <c r="D12" s="42">
        <v>5494568</v>
      </c>
      <c r="E12" s="42">
        <v>12943759</v>
      </c>
      <c r="F12" s="42">
        <v>13247062</v>
      </c>
      <c r="G12" s="42">
        <v>7234575</v>
      </c>
      <c r="H12" s="42">
        <v>6072879</v>
      </c>
      <c r="J12" s="4"/>
      <c r="K12" s="4"/>
      <c r="L12" s="4"/>
      <c r="M12" s="4"/>
      <c r="N12" s="4"/>
    </row>
    <row r="13" spans="2:14" ht="15.75" customHeight="1" x14ac:dyDescent="0.15">
      <c r="B13" s="4" t="s">
        <v>151</v>
      </c>
      <c r="C13" s="4" t="s">
        <v>152</v>
      </c>
      <c r="D13" s="38">
        <v>4005177</v>
      </c>
      <c r="E13" s="38">
        <v>4184110</v>
      </c>
      <c r="F13" s="38">
        <v>4348252</v>
      </c>
      <c r="G13" s="38">
        <v>4196768</v>
      </c>
      <c r="H13" s="38">
        <v>4272175</v>
      </c>
      <c r="J13" s="4"/>
      <c r="L13" s="38"/>
      <c r="M13" s="38"/>
      <c r="N13" s="38"/>
    </row>
    <row r="14" spans="2:14" ht="15.75" customHeight="1" x14ac:dyDescent="0.15">
      <c r="B14" s="4" t="s">
        <v>153</v>
      </c>
      <c r="C14" s="4" t="s">
        <v>154</v>
      </c>
      <c r="D14" s="38">
        <v>141605</v>
      </c>
      <c r="E14" s="38">
        <v>105074</v>
      </c>
      <c r="F14" s="38">
        <v>115057</v>
      </c>
      <c r="G14" s="38">
        <v>54858</v>
      </c>
      <c r="H14" s="38">
        <v>14287</v>
      </c>
      <c r="J14" s="4"/>
      <c r="L14" s="38"/>
      <c r="M14" s="38"/>
      <c r="N14" s="38"/>
    </row>
    <row r="15" spans="2:14" ht="15.75" customHeight="1" x14ac:dyDescent="0.15">
      <c r="B15" s="10" t="s">
        <v>155</v>
      </c>
      <c r="C15" s="10" t="s">
        <v>20</v>
      </c>
      <c r="D15" s="42">
        <v>1347786</v>
      </c>
      <c r="E15" s="42">
        <v>8654575</v>
      </c>
      <c r="F15" s="42">
        <v>8783753</v>
      </c>
      <c r="G15" s="42">
        <v>2982949</v>
      </c>
      <c r="H15" s="42">
        <v>1786418</v>
      </c>
      <c r="J15" s="4"/>
      <c r="K15" s="4"/>
      <c r="L15" s="38"/>
      <c r="M15" s="38"/>
      <c r="N15" s="38"/>
    </row>
    <row r="16" spans="2:14" ht="15.75" customHeight="1" x14ac:dyDescent="0.15">
      <c r="B16" s="4" t="s">
        <v>156</v>
      </c>
      <c r="C16" s="4" t="s">
        <v>157</v>
      </c>
      <c r="D16" s="38">
        <v>19956</v>
      </c>
      <c r="E16" s="38">
        <v>22674</v>
      </c>
      <c r="F16" s="38">
        <v>139485</v>
      </c>
      <c r="G16" s="41">
        <v>565372</v>
      </c>
      <c r="H16" s="41">
        <v>277597</v>
      </c>
      <c r="J16" s="4"/>
      <c r="L16" s="38"/>
      <c r="M16" s="38"/>
      <c r="N16" s="38"/>
    </row>
    <row r="17" spans="2:14" ht="15.75" customHeight="1" x14ac:dyDescent="0.15">
      <c r="B17" s="4" t="s">
        <v>158</v>
      </c>
      <c r="C17" s="4" t="s">
        <v>159</v>
      </c>
      <c r="D17" s="38">
        <v>566618</v>
      </c>
      <c r="E17" s="38">
        <v>1019325</v>
      </c>
      <c r="F17" s="38">
        <v>1405645</v>
      </c>
      <c r="G17" s="38">
        <v>1570312</v>
      </c>
      <c r="H17" s="41">
        <v>2940852</v>
      </c>
      <c r="J17" s="4"/>
      <c r="L17" s="38"/>
      <c r="M17" s="38"/>
      <c r="N17" s="38"/>
    </row>
    <row r="18" spans="2:14" ht="15.75" customHeight="1" x14ac:dyDescent="0.15">
      <c r="B18" s="4" t="s">
        <v>160</v>
      </c>
      <c r="C18" s="4" t="s">
        <v>161</v>
      </c>
      <c r="D18" s="41">
        <v>-740215</v>
      </c>
      <c r="E18" s="38">
        <v>-2104</v>
      </c>
      <c r="F18" s="38">
        <v>46597</v>
      </c>
      <c r="G18" s="38">
        <v>49049</v>
      </c>
      <c r="H18" s="4">
        <v>0</v>
      </c>
      <c r="J18" s="4"/>
      <c r="L18" s="38"/>
      <c r="M18" s="38"/>
      <c r="N18" s="38"/>
    </row>
    <row r="19" spans="2:14" ht="15.75" customHeight="1" x14ac:dyDescent="0.15">
      <c r="B19" s="4" t="s">
        <v>162</v>
      </c>
      <c r="C19" s="4" t="s">
        <v>163</v>
      </c>
      <c r="D19" s="38">
        <v>-54336</v>
      </c>
      <c r="E19" s="38">
        <v>198021</v>
      </c>
      <c r="F19" s="41">
        <v>-891149</v>
      </c>
      <c r="G19" s="38">
        <v>-521352</v>
      </c>
      <c r="H19" s="38">
        <v>467299</v>
      </c>
      <c r="J19" s="4"/>
      <c r="L19" s="38"/>
      <c r="M19" s="38"/>
      <c r="N19" s="38"/>
    </row>
    <row r="20" spans="2:14" ht="15.75" customHeight="1" x14ac:dyDescent="0.15">
      <c r="B20" s="10" t="s">
        <v>164</v>
      </c>
      <c r="C20" s="10" t="s">
        <v>165</v>
      </c>
      <c r="D20" s="42">
        <v>6573</v>
      </c>
      <c r="E20" s="42">
        <v>7853841</v>
      </c>
      <c r="F20" s="42">
        <v>6673040</v>
      </c>
      <c r="G20" s="42">
        <v>1505706</v>
      </c>
      <c r="H20" s="42">
        <v>-409538</v>
      </c>
      <c r="J20" s="4"/>
      <c r="K20" s="4"/>
      <c r="L20" s="38"/>
      <c r="M20" s="38"/>
      <c r="N20" s="38"/>
    </row>
    <row r="21" spans="2:14" ht="15.75" customHeight="1" x14ac:dyDescent="0.15">
      <c r="B21" s="4" t="s">
        <v>166</v>
      </c>
      <c r="C21" s="4" t="s">
        <v>167</v>
      </c>
      <c r="D21" s="38">
        <v>-788123</v>
      </c>
      <c r="E21" s="38">
        <v>2459852</v>
      </c>
      <c r="F21" s="38">
        <v>2219528</v>
      </c>
      <c r="G21" s="38">
        <v>855534</v>
      </c>
      <c r="H21" s="38">
        <v>660384</v>
      </c>
      <c r="J21" s="4"/>
      <c r="L21" s="38"/>
      <c r="M21" s="38"/>
      <c r="N21" s="38"/>
    </row>
    <row r="22" spans="2:14" ht="15.75" customHeight="1" x14ac:dyDescent="0.15">
      <c r="B22" s="10" t="s">
        <v>168</v>
      </c>
      <c r="C22" s="10" t="s">
        <v>169</v>
      </c>
      <c r="D22" s="42">
        <v>794697</v>
      </c>
      <c r="E22" s="42">
        <v>5393988</v>
      </c>
      <c r="F22" s="42">
        <v>4453512</v>
      </c>
      <c r="G22" s="42">
        <v>650172</v>
      </c>
      <c r="H22" s="42">
        <v>-1069922</v>
      </c>
      <c r="J22" s="4"/>
      <c r="K22" s="4"/>
      <c r="L22" s="38"/>
      <c r="M22" s="38"/>
      <c r="N22" s="38"/>
    </row>
    <row r="23" spans="2:14" ht="15.75" customHeight="1" x14ac:dyDescent="0.15">
      <c r="B23" s="4" t="s">
        <v>170</v>
      </c>
      <c r="D23" s="4"/>
      <c r="E23" s="4"/>
      <c r="F23" s="4"/>
      <c r="G23" s="4"/>
      <c r="H23" s="4"/>
    </row>
    <row r="24" spans="2:14" ht="15.75" customHeight="1" x14ac:dyDescent="0.15">
      <c r="B24" s="4" t="s">
        <v>171</v>
      </c>
      <c r="C24" s="4" t="s">
        <v>172</v>
      </c>
      <c r="D24" s="38">
        <v>882281</v>
      </c>
      <c r="E24" s="38">
        <v>5399266</v>
      </c>
      <c r="F24" s="38">
        <v>4420490</v>
      </c>
      <c r="G24" s="38">
        <v>610591</v>
      </c>
      <c r="H24" s="38">
        <v>-1231094</v>
      </c>
    </row>
    <row r="25" spans="2:14" ht="15.75" customHeight="1" x14ac:dyDescent="0.15">
      <c r="B25" s="8" t="s">
        <v>173</v>
      </c>
      <c r="C25" s="8" t="s">
        <v>174</v>
      </c>
      <c r="D25" s="43">
        <v>-87585</v>
      </c>
      <c r="E25" s="43">
        <v>-5277</v>
      </c>
      <c r="F25" s="43">
        <v>33022</v>
      </c>
      <c r="G25" s="43">
        <v>39582</v>
      </c>
      <c r="H25" s="43">
        <v>161173</v>
      </c>
    </row>
    <row r="26" spans="2:14" ht="15.75" customHeight="1" x14ac:dyDescent="0.15">
      <c r="B26" s="4" t="s">
        <v>175</v>
      </c>
      <c r="D26" s="4">
        <v>0.02</v>
      </c>
      <c r="E26" s="4">
        <v>0.17</v>
      </c>
      <c r="F26" s="44" t="s">
        <v>176</v>
      </c>
      <c r="G26" s="4">
        <v>0.02</v>
      </c>
      <c r="H26" s="4">
        <v>-0.03</v>
      </c>
    </row>
    <row r="27" spans="2:14" ht="15.75" customHeight="1" x14ac:dyDescent="0.15">
      <c r="B27" s="4" t="s">
        <v>177</v>
      </c>
      <c r="D27" s="5" t="s">
        <v>14</v>
      </c>
      <c r="E27" s="5" t="s">
        <v>14</v>
      </c>
      <c r="F27" s="5" t="s">
        <v>14</v>
      </c>
      <c r="G27" s="4">
        <v>0.02</v>
      </c>
      <c r="H27" s="4">
        <v>-0.03</v>
      </c>
    </row>
    <row r="30" spans="2:14" ht="15.75" customHeight="1" x14ac:dyDescent="0.15">
      <c r="D30" s="45" t="s">
        <v>178</v>
      </c>
      <c r="E30" s="45" t="s">
        <v>179</v>
      </c>
      <c r="F30" s="45" t="s">
        <v>180</v>
      </c>
      <c r="G30" s="45" t="s">
        <v>181</v>
      </c>
      <c r="H30" s="46" t="s">
        <v>182</v>
      </c>
    </row>
    <row r="35" spans="2:8" ht="15.75" customHeight="1" x14ac:dyDescent="0.15">
      <c r="B35" s="4"/>
      <c r="C35" s="4"/>
      <c r="D35" s="4"/>
      <c r="E35" s="4"/>
      <c r="F35" s="4"/>
      <c r="G35" s="4"/>
      <c r="H35" s="4"/>
    </row>
    <row r="36" spans="2:8" ht="15.75" customHeight="1" x14ac:dyDescent="0.15">
      <c r="B36" s="4"/>
      <c r="D36" s="47"/>
      <c r="E36" s="47"/>
      <c r="F36" s="47"/>
      <c r="G36" s="47"/>
      <c r="H36" s="47"/>
    </row>
    <row r="37" spans="2:8" ht="15.75" customHeight="1" x14ac:dyDescent="0.15">
      <c r="B37" s="4"/>
      <c r="D37" s="47"/>
      <c r="E37" s="47"/>
      <c r="F37" s="47"/>
      <c r="G37" s="47"/>
      <c r="H37" s="47"/>
    </row>
    <row r="38" spans="2:8" ht="15.75" customHeight="1" x14ac:dyDescent="0.15">
      <c r="B38" s="4"/>
      <c r="C38" s="4"/>
      <c r="D38" s="47"/>
      <c r="E38" s="47"/>
      <c r="F38" s="47"/>
      <c r="G38" s="47"/>
      <c r="H38" s="47"/>
    </row>
    <row r="43" spans="2:8" ht="15.75" customHeight="1" x14ac:dyDescent="0.15">
      <c r="B43" s="4"/>
      <c r="C43" s="4"/>
      <c r="D43" s="4"/>
      <c r="E43" s="4"/>
      <c r="F43" s="4"/>
      <c r="G43" s="4"/>
      <c r="H43" s="4"/>
    </row>
    <row r="44" spans="2:8" ht="15.75" customHeight="1" x14ac:dyDescent="0.15">
      <c r="B44" s="4"/>
      <c r="D44" s="47"/>
      <c r="E44" s="47"/>
      <c r="F44" s="47"/>
      <c r="G44" s="47"/>
      <c r="H44" s="47"/>
    </row>
    <row r="45" spans="2:8" ht="15.75" customHeight="1" x14ac:dyDescent="0.15">
      <c r="B45" s="4"/>
      <c r="D45" s="47"/>
      <c r="E45" s="47"/>
      <c r="F45" s="47"/>
      <c r="G45" s="47"/>
      <c r="H45" s="47"/>
    </row>
    <row r="46" spans="2:8" ht="15.75" customHeight="1" x14ac:dyDescent="0.15">
      <c r="B46" s="4"/>
      <c r="D46" s="47"/>
      <c r="E46" s="47"/>
      <c r="F46" s="47"/>
      <c r="G46" s="47"/>
      <c r="H46" s="47"/>
    </row>
    <row r="47" spans="2:8" ht="15.75" customHeight="1" x14ac:dyDescent="0.15">
      <c r="B47" s="4"/>
      <c r="D47" s="47"/>
      <c r="E47" s="47"/>
      <c r="F47" s="47"/>
      <c r="G47" s="47"/>
      <c r="H47" s="47"/>
    </row>
    <row r="48" spans="2:8" ht="15.75" customHeight="1" x14ac:dyDescent="0.15">
      <c r="B48" s="4"/>
      <c r="C48" s="4"/>
      <c r="D48" s="38"/>
      <c r="E48" s="38"/>
      <c r="F48" s="38"/>
      <c r="G48" s="38"/>
      <c r="H48" s="38"/>
    </row>
    <row r="53" spans="2:8" ht="13" x14ac:dyDescent="0.15">
      <c r="B53" s="4"/>
      <c r="C53" s="4"/>
      <c r="D53" s="4"/>
      <c r="E53" s="4"/>
      <c r="F53" s="4"/>
      <c r="G53" s="4"/>
      <c r="H53" s="4"/>
    </row>
    <row r="54" spans="2:8" ht="13" x14ac:dyDescent="0.15">
      <c r="B54" s="4"/>
      <c r="D54" s="38"/>
      <c r="E54" s="38"/>
      <c r="F54" s="38"/>
      <c r="G54" s="38"/>
      <c r="H54" s="38"/>
    </row>
    <row r="55" spans="2:8" ht="13" x14ac:dyDescent="0.15">
      <c r="B55" s="4"/>
      <c r="D55" s="38"/>
      <c r="E55" s="38"/>
      <c r="F55" s="38"/>
      <c r="G55" s="38"/>
      <c r="H55" s="38"/>
    </row>
    <row r="56" spans="2:8" ht="13" x14ac:dyDescent="0.15">
      <c r="B56" s="4"/>
      <c r="C56" s="4"/>
      <c r="D56" s="38"/>
      <c r="E56" s="38"/>
      <c r="F56" s="38"/>
      <c r="G56" s="38"/>
      <c r="H56" s="38"/>
    </row>
    <row r="61" spans="2:8" ht="13" x14ac:dyDescent="0.15">
      <c r="B61" s="4"/>
      <c r="C61" s="4"/>
      <c r="D61" s="4"/>
      <c r="E61" s="4"/>
      <c r="F61" s="4"/>
      <c r="G61" s="4"/>
      <c r="H61" s="4"/>
    </row>
    <row r="62" spans="2:8" ht="13" x14ac:dyDescent="0.15">
      <c r="B62" s="4"/>
      <c r="D62" s="38"/>
      <c r="E62" s="38"/>
      <c r="F62" s="38"/>
      <c r="G62" s="38"/>
      <c r="H62" s="38"/>
    </row>
    <row r="63" spans="2:8" ht="13" x14ac:dyDescent="0.15">
      <c r="B63" s="4"/>
      <c r="D63" s="38"/>
      <c r="E63" s="38"/>
      <c r="F63" s="38"/>
      <c r="G63" s="38"/>
      <c r="H63" s="38"/>
    </row>
    <row r="64" spans="2:8" ht="13" x14ac:dyDescent="0.15">
      <c r="B64" s="4"/>
      <c r="D64" s="38"/>
      <c r="E64" s="38"/>
      <c r="F64" s="38"/>
      <c r="G64" s="38"/>
    </row>
    <row r="65" spans="2:8" ht="13" x14ac:dyDescent="0.15">
      <c r="B65" s="4"/>
      <c r="D65" s="38"/>
      <c r="E65" s="38"/>
      <c r="F65" s="38"/>
      <c r="G65" s="38"/>
      <c r="H65" s="38"/>
    </row>
    <row r="66" spans="2:8" ht="13" x14ac:dyDescent="0.15">
      <c r="B66" s="4"/>
      <c r="C66" s="4"/>
      <c r="D66" s="38"/>
      <c r="E66" s="38"/>
      <c r="F66" s="38"/>
      <c r="G66" s="38"/>
      <c r="H66" s="38"/>
    </row>
    <row r="71" spans="2:8" ht="13" x14ac:dyDescent="0.15">
      <c r="B71" s="4"/>
      <c r="C71" s="4"/>
      <c r="D71" s="4"/>
      <c r="E71" s="4"/>
      <c r="F71" s="4"/>
      <c r="G71" s="4"/>
      <c r="H71" s="4"/>
    </row>
    <row r="72" spans="2:8" ht="13" x14ac:dyDescent="0.15">
      <c r="B72" s="4"/>
      <c r="D72" s="38"/>
      <c r="E72" s="38"/>
      <c r="F72" s="38"/>
      <c r="G72" s="38"/>
      <c r="H72" s="38"/>
    </row>
    <row r="73" spans="2:8" ht="13" x14ac:dyDescent="0.15">
      <c r="B73" s="4"/>
      <c r="C73" s="4"/>
      <c r="D73" s="38"/>
      <c r="E73" s="38"/>
      <c r="F73" s="38"/>
      <c r="G73" s="38"/>
      <c r="H73" s="38"/>
    </row>
    <row r="78" spans="2:8" ht="13" x14ac:dyDescent="0.15">
      <c r="B78" s="4"/>
      <c r="C78" s="4"/>
      <c r="D78" s="4"/>
      <c r="E78" s="4"/>
      <c r="F78" s="4"/>
      <c r="G78" s="4"/>
      <c r="H78" s="4"/>
    </row>
    <row r="79" spans="2:8" ht="13" x14ac:dyDescent="0.15">
      <c r="B79" s="4"/>
      <c r="D79" s="38"/>
      <c r="E79" s="38"/>
      <c r="F79" s="38"/>
      <c r="G79" s="38"/>
      <c r="H79" s="38"/>
    </row>
    <row r="80" spans="2:8" ht="13" x14ac:dyDescent="0.15">
      <c r="B80" s="4"/>
      <c r="D80" s="38"/>
      <c r="E80" s="38"/>
      <c r="F80" s="38"/>
      <c r="G80" s="38"/>
      <c r="H80" s="38"/>
    </row>
  </sheetData>
  <hyperlinks>
    <hyperlink ref="D30" r:id="rId1" xr:uid="{00000000-0004-0000-0300-000000000000}"/>
    <hyperlink ref="E30" r:id="rId2" xr:uid="{00000000-0004-0000-0300-000001000000}"/>
    <hyperlink ref="F30" r:id="rId3" xr:uid="{00000000-0004-0000-0300-000002000000}"/>
    <hyperlink ref="G30" r:id="rId4" xr:uid="{00000000-0004-0000-0300-000003000000}"/>
    <hyperlink ref="H30" r:id="rId5" xr:uid="{00000000-0004-0000-0300-000004000000}"/>
  </hyperlinks>
  <pageMargins left="0.7" right="0.7" top="0.75" bottom="0.75" header="0.3" footer="0.3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P120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2" width="36.33203125" customWidth="1"/>
    <col min="3" max="3" width="35.1640625" customWidth="1"/>
  </cols>
  <sheetData>
    <row r="1" spans="2:16" ht="15.75" customHeight="1" x14ac:dyDescent="0.15">
      <c r="B1" s="2" t="s">
        <v>183</v>
      </c>
      <c r="C1" s="2" t="s">
        <v>184</v>
      </c>
    </row>
    <row r="3" spans="2:16" ht="15.75" customHeight="1" x14ac:dyDescent="0.15">
      <c r="B3" s="6" t="s">
        <v>1</v>
      </c>
      <c r="C3" s="6"/>
      <c r="D3" s="7">
        <v>2020</v>
      </c>
      <c r="E3" s="7">
        <v>2021</v>
      </c>
      <c r="F3" s="7">
        <v>2022</v>
      </c>
      <c r="G3" s="7">
        <v>2023</v>
      </c>
      <c r="H3" s="7">
        <v>2024</v>
      </c>
    </row>
    <row r="4" spans="2:16" ht="15.75" customHeight="1" x14ac:dyDescent="0.15">
      <c r="B4" s="35" t="s">
        <v>136</v>
      </c>
      <c r="C4" s="36" t="s">
        <v>137</v>
      </c>
      <c r="G4" s="4"/>
      <c r="H4" s="4"/>
    </row>
    <row r="5" spans="2:16" ht="15.75" customHeight="1" x14ac:dyDescent="0.15">
      <c r="B5" s="2" t="s">
        <v>185</v>
      </c>
      <c r="G5" s="4"/>
      <c r="H5" s="4"/>
    </row>
    <row r="6" spans="2:16" ht="15.75" customHeight="1" x14ac:dyDescent="0.15">
      <c r="B6" s="4" t="s">
        <v>186</v>
      </c>
      <c r="C6" s="4" t="s">
        <v>42</v>
      </c>
      <c r="D6" s="38">
        <v>14824606</v>
      </c>
      <c r="E6" s="38">
        <v>14824606</v>
      </c>
      <c r="F6" s="38">
        <v>14824606</v>
      </c>
      <c r="G6" s="38">
        <v>14824606</v>
      </c>
      <c r="H6" s="38">
        <v>14824606</v>
      </c>
      <c r="J6" s="2"/>
      <c r="L6" s="38"/>
      <c r="M6" s="38"/>
      <c r="N6" s="38"/>
      <c r="O6" s="38"/>
      <c r="P6" s="38"/>
    </row>
    <row r="7" spans="2:16" ht="15.75" customHeight="1" x14ac:dyDescent="0.15">
      <c r="B7" s="4" t="s">
        <v>187</v>
      </c>
      <c r="C7" s="4" t="s">
        <v>188</v>
      </c>
      <c r="D7" s="38">
        <v>612205</v>
      </c>
      <c r="E7" s="38">
        <v>609131</v>
      </c>
      <c r="F7" s="38">
        <v>503490</v>
      </c>
      <c r="G7" s="38">
        <v>458392</v>
      </c>
      <c r="H7" s="38">
        <v>549048</v>
      </c>
      <c r="J7" s="2"/>
      <c r="L7" s="38"/>
      <c r="M7" s="38"/>
      <c r="N7" s="38"/>
      <c r="O7" s="38"/>
      <c r="P7" s="38"/>
    </row>
    <row r="8" spans="2:16" ht="15.75" customHeight="1" x14ac:dyDescent="0.15">
      <c r="B8" s="4" t="s">
        <v>189</v>
      </c>
      <c r="C8" s="4" t="s">
        <v>190</v>
      </c>
      <c r="D8" s="38">
        <v>61398757</v>
      </c>
      <c r="E8" s="38">
        <v>66265261</v>
      </c>
      <c r="F8" s="38">
        <v>71848376</v>
      </c>
      <c r="G8" s="38">
        <v>76136843</v>
      </c>
      <c r="H8" s="38">
        <v>83691341</v>
      </c>
      <c r="J8" s="2"/>
      <c r="L8" s="38"/>
      <c r="M8" s="38"/>
      <c r="N8" s="38"/>
      <c r="O8" s="38"/>
      <c r="P8" s="38"/>
    </row>
    <row r="9" spans="2:16" ht="15.75" customHeight="1" x14ac:dyDescent="0.15">
      <c r="B9" s="4" t="s">
        <v>191</v>
      </c>
      <c r="C9" s="4" t="s">
        <v>192</v>
      </c>
      <c r="D9" s="38">
        <v>6220725</v>
      </c>
      <c r="E9" s="38">
        <v>6148105</v>
      </c>
      <c r="F9" s="38">
        <v>6222540</v>
      </c>
      <c r="G9" s="38">
        <v>6409902</v>
      </c>
      <c r="H9" s="38">
        <v>7120887</v>
      </c>
      <c r="J9" s="2"/>
      <c r="L9" s="38"/>
      <c r="M9" s="38"/>
      <c r="N9" s="38"/>
      <c r="O9" s="38"/>
      <c r="P9" s="38"/>
    </row>
    <row r="10" spans="2:16" ht="15.75" customHeight="1" x14ac:dyDescent="0.15">
      <c r="B10" s="4" t="s">
        <v>193</v>
      </c>
      <c r="C10" s="4" t="s">
        <v>194</v>
      </c>
      <c r="D10" s="38">
        <v>10277068</v>
      </c>
      <c r="E10" s="38">
        <v>9298405</v>
      </c>
      <c r="F10" s="38">
        <v>8888639</v>
      </c>
      <c r="G10" s="38">
        <v>8086432</v>
      </c>
      <c r="H10" s="38">
        <v>8358184</v>
      </c>
      <c r="J10" s="2"/>
      <c r="L10" s="38"/>
      <c r="M10" s="38"/>
      <c r="N10" s="38"/>
      <c r="O10" s="38"/>
      <c r="P10" s="38"/>
    </row>
    <row r="11" spans="2:16" ht="15.75" customHeight="1" x14ac:dyDescent="0.15">
      <c r="B11" s="4" t="s">
        <v>195</v>
      </c>
      <c r="C11" s="4" t="s">
        <v>196</v>
      </c>
      <c r="D11" s="38">
        <v>90298</v>
      </c>
      <c r="E11" s="38">
        <v>68798</v>
      </c>
      <c r="F11" s="38">
        <v>68123</v>
      </c>
      <c r="G11" s="38">
        <v>68123</v>
      </c>
      <c r="H11" s="38">
        <v>68115</v>
      </c>
      <c r="J11" s="2"/>
      <c r="L11" s="38"/>
      <c r="M11" s="38"/>
      <c r="N11" s="38"/>
      <c r="O11" s="38"/>
      <c r="P11" s="38"/>
    </row>
    <row r="12" spans="2:16" ht="15.75" customHeight="1" x14ac:dyDescent="0.15">
      <c r="B12" s="4" t="s">
        <v>197</v>
      </c>
      <c r="C12" s="4" t="s">
        <v>198</v>
      </c>
      <c r="D12" s="38">
        <v>55834</v>
      </c>
      <c r="E12" s="38">
        <v>6042943</v>
      </c>
      <c r="F12" s="38">
        <v>8043724</v>
      </c>
      <c r="G12" s="38">
        <v>5911480</v>
      </c>
      <c r="H12" s="38">
        <v>19401</v>
      </c>
      <c r="J12" s="2"/>
      <c r="L12" s="38"/>
      <c r="M12" s="38"/>
      <c r="N12" s="38"/>
      <c r="O12" s="38"/>
      <c r="P12" s="38"/>
    </row>
    <row r="13" spans="2:16" ht="15.75" customHeight="1" x14ac:dyDescent="0.15">
      <c r="B13" s="4" t="s">
        <v>199</v>
      </c>
      <c r="C13" s="4" t="s">
        <v>200</v>
      </c>
      <c r="D13" s="38">
        <v>20628535</v>
      </c>
      <c r="E13" s="38">
        <v>19796627</v>
      </c>
      <c r="F13" s="38">
        <v>18591403</v>
      </c>
      <c r="G13" s="38">
        <v>31749403</v>
      </c>
      <c r="H13" s="38">
        <v>33606347</v>
      </c>
      <c r="J13" s="2"/>
      <c r="L13" s="38"/>
      <c r="M13" s="38"/>
      <c r="N13" s="38"/>
      <c r="O13" s="38"/>
      <c r="P13" s="38"/>
    </row>
    <row r="14" spans="2:16" ht="15.75" customHeight="1" x14ac:dyDescent="0.15">
      <c r="B14" s="4" t="s">
        <v>201</v>
      </c>
      <c r="C14" s="4" t="s">
        <v>202</v>
      </c>
      <c r="D14" s="38">
        <v>252952</v>
      </c>
      <c r="E14" s="38">
        <v>254161</v>
      </c>
      <c r="F14" s="38">
        <v>137500</v>
      </c>
      <c r="G14" s="38">
        <v>102000</v>
      </c>
      <c r="H14" s="38">
        <v>132000</v>
      </c>
      <c r="J14" s="2"/>
      <c r="L14" s="38"/>
      <c r="M14" s="38"/>
      <c r="N14" s="38"/>
      <c r="O14" s="38"/>
      <c r="P14" s="38"/>
    </row>
    <row r="15" spans="2:16" ht="15.75" customHeight="1" x14ac:dyDescent="0.15">
      <c r="B15" s="4" t="s">
        <v>203</v>
      </c>
      <c r="C15" s="4" t="s">
        <v>47</v>
      </c>
      <c r="D15" s="38">
        <v>943618</v>
      </c>
      <c r="E15" s="38">
        <v>1014030</v>
      </c>
      <c r="F15" s="38">
        <v>1021251</v>
      </c>
      <c r="G15" s="38">
        <v>1040250</v>
      </c>
      <c r="H15" s="38">
        <v>862404</v>
      </c>
      <c r="J15" s="2"/>
      <c r="L15" s="38"/>
      <c r="M15" s="38"/>
      <c r="N15" s="38"/>
      <c r="O15" s="38"/>
      <c r="P15" s="38"/>
    </row>
    <row r="16" spans="2:16" ht="15.75" customHeight="1" x14ac:dyDescent="0.15">
      <c r="B16" s="10" t="s">
        <v>204</v>
      </c>
      <c r="C16" s="10" t="s">
        <v>48</v>
      </c>
      <c r="D16" s="42">
        <v>115304597</v>
      </c>
      <c r="E16" s="42">
        <v>124322068</v>
      </c>
      <c r="F16" s="42">
        <v>130149653</v>
      </c>
      <c r="G16" s="42">
        <v>144787430</v>
      </c>
      <c r="H16" s="42">
        <v>149232332</v>
      </c>
      <c r="J16" s="2"/>
      <c r="L16" s="37"/>
      <c r="M16" s="37"/>
      <c r="N16" s="37"/>
      <c r="O16" s="37"/>
      <c r="P16" s="37"/>
    </row>
    <row r="17" spans="2:16" ht="15.75" customHeight="1" x14ac:dyDescent="0.15">
      <c r="B17" s="2" t="s">
        <v>205</v>
      </c>
      <c r="E17" s="4"/>
      <c r="F17" s="4"/>
      <c r="G17" s="4"/>
      <c r="H17" s="4"/>
    </row>
    <row r="18" spans="2:16" ht="15.75" customHeight="1" x14ac:dyDescent="0.15">
      <c r="B18" s="4" t="s">
        <v>206</v>
      </c>
      <c r="C18" s="4" t="s">
        <v>207</v>
      </c>
      <c r="D18" s="38">
        <v>28194359</v>
      </c>
      <c r="E18" s="38">
        <v>31514407</v>
      </c>
      <c r="F18" s="38">
        <v>35515111</v>
      </c>
      <c r="G18" s="38">
        <v>28289355</v>
      </c>
      <c r="H18" s="38">
        <v>26850416</v>
      </c>
      <c r="J18" s="2"/>
      <c r="L18" s="38"/>
      <c r="M18" s="38"/>
      <c r="N18" s="38"/>
      <c r="O18" s="38"/>
      <c r="P18" s="38"/>
    </row>
    <row r="19" spans="2:16" ht="15.75" customHeight="1" x14ac:dyDescent="0.15">
      <c r="B19" s="4" t="s">
        <v>208</v>
      </c>
      <c r="C19" s="4" t="s">
        <v>209</v>
      </c>
      <c r="D19" s="38">
        <v>12485719</v>
      </c>
      <c r="E19" s="38">
        <v>15418674</v>
      </c>
      <c r="F19" s="38">
        <v>13703612</v>
      </c>
      <c r="G19" s="38">
        <v>9444353</v>
      </c>
      <c r="H19" s="38">
        <v>11994534</v>
      </c>
      <c r="J19" s="2"/>
      <c r="L19" s="38"/>
      <c r="M19" s="38"/>
      <c r="N19" s="38"/>
      <c r="O19" s="38"/>
      <c r="P19" s="38"/>
    </row>
    <row r="20" spans="2:16" ht="15.75" customHeight="1" x14ac:dyDescent="0.15">
      <c r="B20" s="4" t="s">
        <v>210</v>
      </c>
      <c r="C20" s="4" t="s">
        <v>211</v>
      </c>
      <c r="D20" s="38">
        <v>3394147</v>
      </c>
      <c r="E20" s="38">
        <v>1113535</v>
      </c>
      <c r="F20" s="38">
        <v>462127</v>
      </c>
      <c r="G20" s="38">
        <v>596021</v>
      </c>
      <c r="H20" s="38">
        <v>241815</v>
      </c>
      <c r="J20" s="2"/>
      <c r="L20" s="38"/>
      <c r="M20" s="38"/>
      <c r="N20" s="38"/>
      <c r="O20" s="38"/>
      <c r="P20" s="38"/>
    </row>
    <row r="21" spans="2:16" ht="15.75" customHeight="1" x14ac:dyDescent="0.15">
      <c r="B21" s="4" t="s">
        <v>212</v>
      </c>
      <c r="C21" s="4" t="s">
        <v>213</v>
      </c>
      <c r="D21" s="38">
        <v>953076</v>
      </c>
      <c r="E21" s="38">
        <v>2958482</v>
      </c>
      <c r="F21" s="38">
        <v>2698635</v>
      </c>
      <c r="G21" s="38">
        <v>2223737</v>
      </c>
      <c r="H21" s="38">
        <v>2852628</v>
      </c>
      <c r="J21" s="2"/>
      <c r="L21" s="38"/>
      <c r="M21" s="38"/>
      <c r="N21" s="38"/>
      <c r="O21" s="38"/>
      <c r="P21" s="38"/>
    </row>
    <row r="22" spans="2:16" ht="15.75" customHeight="1" x14ac:dyDescent="0.15">
      <c r="B22" s="4" t="s">
        <v>214</v>
      </c>
      <c r="C22" s="4" t="s">
        <v>215</v>
      </c>
      <c r="D22" s="38">
        <v>1033</v>
      </c>
      <c r="E22" s="38">
        <v>1033</v>
      </c>
      <c r="F22" s="38">
        <v>857573</v>
      </c>
      <c r="G22" s="38">
        <v>341906</v>
      </c>
      <c r="H22" s="38">
        <v>1225178</v>
      </c>
      <c r="J22" s="2"/>
      <c r="L22" s="38"/>
      <c r="M22" s="38"/>
      <c r="N22" s="38"/>
      <c r="O22" s="38"/>
      <c r="P22" s="38"/>
    </row>
    <row r="23" spans="2:16" ht="15.75" customHeight="1" x14ac:dyDescent="0.15">
      <c r="B23" s="4" t="s">
        <v>216</v>
      </c>
      <c r="C23" s="4" t="s">
        <v>55</v>
      </c>
      <c r="D23" s="38">
        <v>20516190</v>
      </c>
      <c r="E23" s="38">
        <v>27497847</v>
      </c>
      <c r="F23" s="38">
        <v>28244900</v>
      </c>
      <c r="G23" s="38">
        <v>23679895</v>
      </c>
      <c r="H23" s="38">
        <v>14751421</v>
      </c>
      <c r="J23" s="2"/>
      <c r="L23" s="38"/>
      <c r="M23" s="38"/>
      <c r="N23" s="38"/>
      <c r="O23" s="38"/>
      <c r="P23" s="38"/>
    </row>
    <row r="24" spans="2:16" ht="15.75" customHeight="1" x14ac:dyDescent="0.15">
      <c r="B24" s="10" t="s">
        <v>217</v>
      </c>
      <c r="C24" s="10" t="s">
        <v>56</v>
      </c>
      <c r="D24" s="42">
        <v>65544525</v>
      </c>
      <c r="E24" s="42">
        <v>78503979</v>
      </c>
      <c r="F24" s="42">
        <v>81481958</v>
      </c>
      <c r="G24" s="42">
        <v>64575268</v>
      </c>
      <c r="H24" s="42">
        <v>57915992</v>
      </c>
      <c r="J24" s="2"/>
      <c r="L24" s="37"/>
      <c r="M24" s="37"/>
      <c r="N24" s="37"/>
      <c r="O24" s="37"/>
      <c r="P24" s="37"/>
    </row>
    <row r="25" spans="2:16" ht="15.75" customHeight="1" x14ac:dyDescent="0.15">
      <c r="B25" s="48" t="s">
        <v>218</v>
      </c>
      <c r="C25" s="48" t="s">
        <v>219</v>
      </c>
      <c r="D25" s="49">
        <v>180849122</v>
      </c>
      <c r="E25" s="49">
        <v>202826047</v>
      </c>
      <c r="F25" s="49">
        <v>211631611</v>
      </c>
      <c r="G25" s="49">
        <v>209362698</v>
      </c>
      <c r="H25" s="49">
        <v>207148324</v>
      </c>
    </row>
    <row r="26" spans="2:16" ht="15.75" customHeight="1" x14ac:dyDescent="0.15">
      <c r="B26" s="2" t="s">
        <v>220</v>
      </c>
      <c r="E26" s="4"/>
      <c r="G26" s="2"/>
      <c r="H26" s="2"/>
    </row>
    <row r="27" spans="2:16" ht="15.75" customHeight="1" x14ac:dyDescent="0.15">
      <c r="B27" s="2" t="s">
        <v>221</v>
      </c>
      <c r="E27" s="4"/>
      <c r="F27" s="4"/>
      <c r="G27" s="38"/>
      <c r="H27" s="38"/>
    </row>
    <row r="28" spans="2:16" ht="15.75" customHeight="1" x14ac:dyDescent="0.15">
      <c r="B28" s="4" t="s">
        <v>222</v>
      </c>
      <c r="C28" s="4" t="s">
        <v>60</v>
      </c>
      <c r="D28" s="38">
        <v>43082549</v>
      </c>
      <c r="E28" s="38">
        <v>43082549</v>
      </c>
      <c r="F28" s="38">
        <v>43082549</v>
      </c>
      <c r="G28" s="38">
        <v>43082549</v>
      </c>
      <c r="H28" s="38">
        <v>43082549</v>
      </c>
      <c r="J28" s="2"/>
      <c r="L28" s="38"/>
      <c r="M28" s="38"/>
      <c r="N28" s="38"/>
      <c r="O28" s="38"/>
      <c r="P28" s="38"/>
    </row>
    <row r="29" spans="2:16" ht="15.75" customHeight="1" x14ac:dyDescent="0.15">
      <c r="B29" s="4" t="s">
        <v>223</v>
      </c>
      <c r="C29" s="4" t="s">
        <v>224</v>
      </c>
      <c r="D29" s="38">
        <v>4867905</v>
      </c>
      <c r="E29" s="38">
        <v>4921152</v>
      </c>
      <c r="F29" s="38">
        <v>5174312</v>
      </c>
      <c r="G29" s="38">
        <v>5372643</v>
      </c>
      <c r="H29" s="38">
        <v>5412637</v>
      </c>
      <c r="J29" s="2"/>
      <c r="L29" s="38"/>
      <c r="M29" s="38"/>
      <c r="N29" s="38"/>
      <c r="O29" s="38"/>
      <c r="P29" s="38"/>
    </row>
    <row r="30" spans="2:16" ht="15.75" customHeight="1" x14ac:dyDescent="0.15">
      <c r="B30" s="4" t="s">
        <v>225</v>
      </c>
      <c r="C30" s="4" t="s">
        <v>226</v>
      </c>
      <c r="D30" s="38">
        <v>56721205</v>
      </c>
      <c r="E30" s="38">
        <v>56760039</v>
      </c>
      <c r="F30" s="38">
        <v>55734705</v>
      </c>
      <c r="G30" s="38">
        <v>82211988</v>
      </c>
      <c r="H30" s="38">
        <v>82554002</v>
      </c>
      <c r="J30" s="2"/>
      <c r="L30" s="38"/>
      <c r="M30" s="38"/>
      <c r="N30" s="38"/>
      <c r="O30" s="38"/>
      <c r="P30" s="38"/>
    </row>
    <row r="31" spans="2:16" ht="15.75" customHeight="1" x14ac:dyDescent="0.15">
      <c r="B31" s="4" t="s">
        <v>227</v>
      </c>
      <c r="C31" s="4" t="s">
        <v>228</v>
      </c>
      <c r="D31" s="38">
        <v>18651782</v>
      </c>
      <c r="E31" s="38">
        <v>20796527</v>
      </c>
      <c r="F31" s="38">
        <v>25933373</v>
      </c>
      <c r="G31" s="5" t="s">
        <v>14</v>
      </c>
      <c r="H31" s="5" t="s">
        <v>14</v>
      </c>
      <c r="J31" s="2"/>
      <c r="L31" s="38"/>
      <c r="M31" s="38"/>
      <c r="N31" s="38"/>
    </row>
    <row r="32" spans="2:16" ht="15.75" customHeight="1" x14ac:dyDescent="0.15">
      <c r="B32" s="4" t="s">
        <v>229</v>
      </c>
      <c r="C32" s="4" t="s">
        <v>169</v>
      </c>
      <c r="D32" s="38">
        <v>882281</v>
      </c>
      <c r="E32" s="38">
        <v>5399266</v>
      </c>
      <c r="F32" s="38">
        <v>4420490</v>
      </c>
      <c r="G32" s="5" t="s">
        <v>14</v>
      </c>
      <c r="H32" s="5" t="s">
        <v>14</v>
      </c>
      <c r="J32" s="2"/>
      <c r="L32" s="38"/>
      <c r="M32" s="38"/>
      <c r="N32" s="38"/>
    </row>
    <row r="33" spans="2:16" ht="15.75" customHeight="1" x14ac:dyDescent="0.15">
      <c r="B33" s="2" t="s">
        <v>230</v>
      </c>
      <c r="C33" s="4" t="s">
        <v>231</v>
      </c>
      <c r="D33" s="38">
        <v>124205722</v>
      </c>
      <c r="E33" s="50">
        <v>130959532</v>
      </c>
      <c r="F33" s="50">
        <v>134345428</v>
      </c>
      <c r="G33" s="37">
        <v>130667179</v>
      </c>
      <c r="H33" s="37">
        <v>131049187</v>
      </c>
      <c r="J33" s="2"/>
      <c r="L33" s="38"/>
      <c r="M33" s="38"/>
      <c r="N33" s="38"/>
      <c r="O33" s="38"/>
      <c r="P33" s="38"/>
    </row>
    <row r="34" spans="2:16" ht="15.75" customHeight="1" x14ac:dyDescent="0.15">
      <c r="B34" s="11" t="s">
        <v>232</v>
      </c>
      <c r="C34" s="11" t="s">
        <v>25</v>
      </c>
      <c r="D34" s="42">
        <v>4418557</v>
      </c>
      <c r="E34" s="50">
        <v>4419158</v>
      </c>
      <c r="F34" s="50">
        <v>4492407</v>
      </c>
      <c r="G34" s="39">
        <v>4510105</v>
      </c>
      <c r="H34" s="39">
        <v>4666953</v>
      </c>
      <c r="J34" s="2"/>
      <c r="L34" s="38"/>
      <c r="M34" s="38"/>
      <c r="N34" s="38"/>
      <c r="O34" s="38"/>
      <c r="P34" s="38"/>
    </row>
    <row r="35" spans="2:16" ht="15.75" customHeight="1" x14ac:dyDescent="0.15">
      <c r="B35" s="48" t="s">
        <v>233</v>
      </c>
      <c r="C35" s="48" t="s">
        <v>234</v>
      </c>
      <c r="D35" s="49">
        <v>128624279</v>
      </c>
      <c r="E35" s="49">
        <v>135378690</v>
      </c>
      <c r="F35" s="49">
        <v>138837836</v>
      </c>
      <c r="G35" s="49">
        <v>135177284</v>
      </c>
      <c r="H35" s="49">
        <v>135716141</v>
      </c>
      <c r="J35" s="2"/>
      <c r="L35" s="37"/>
      <c r="M35" s="37"/>
      <c r="N35" s="37"/>
      <c r="O35" s="37"/>
      <c r="P35" s="37"/>
    </row>
    <row r="36" spans="2:16" ht="15.75" customHeight="1" x14ac:dyDescent="0.15">
      <c r="B36" s="2" t="s">
        <v>235</v>
      </c>
      <c r="E36" s="4"/>
      <c r="F36" s="4"/>
      <c r="G36" s="4"/>
      <c r="H36" s="4"/>
    </row>
    <row r="37" spans="2:16" ht="15.75" customHeight="1" x14ac:dyDescent="0.15">
      <c r="B37" s="4" t="s">
        <v>236</v>
      </c>
      <c r="C37" s="4" t="s">
        <v>237</v>
      </c>
      <c r="D37" s="38">
        <v>22830070</v>
      </c>
      <c r="E37" s="38">
        <v>30011689</v>
      </c>
      <c r="F37" s="38">
        <v>36280337</v>
      </c>
      <c r="G37" s="38">
        <v>29524013</v>
      </c>
      <c r="H37" s="38">
        <v>19119502</v>
      </c>
      <c r="J37" s="2"/>
      <c r="L37" s="38"/>
      <c r="M37" s="38"/>
      <c r="N37" s="38"/>
      <c r="O37" s="38"/>
      <c r="P37" s="38"/>
    </row>
    <row r="38" spans="2:16" ht="15.75" customHeight="1" x14ac:dyDescent="0.15">
      <c r="B38" s="4" t="s">
        <v>238</v>
      </c>
      <c r="C38" s="4" t="s">
        <v>239</v>
      </c>
      <c r="D38" s="38">
        <v>9543689</v>
      </c>
      <c r="E38" s="38">
        <v>8735467</v>
      </c>
      <c r="F38" s="38">
        <v>8305021</v>
      </c>
      <c r="G38" s="38">
        <v>7654144</v>
      </c>
      <c r="H38" s="38">
        <v>7739233</v>
      </c>
      <c r="J38" s="2"/>
      <c r="L38" s="38"/>
      <c r="M38" s="38"/>
      <c r="N38" s="38"/>
      <c r="O38" s="38"/>
      <c r="P38" s="38"/>
    </row>
    <row r="39" spans="2:16" ht="15.75" customHeight="1" x14ac:dyDescent="0.15">
      <c r="B39" s="4" t="s">
        <v>240</v>
      </c>
      <c r="C39" s="4" t="s">
        <v>241</v>
      </c>
      <c r="D39" s="38">
        <v>57650</v>
      </c>
      <c r="E39" s="38">
        <v>54404</v>
      </c>
      <c r="F39" s="38">
        <v>54404</v>
      </c>
      <c r="G39" s="38">
        <v>52206</v>
      </c>
      <c r="H39" s="38">
        <v>52206</v>
      </c>
      <c r="J39" s="2"/>
      <c r="L39" s="38"/>
      <c r="M39" s="38"/>
      <c r="N39" s="38"/>
      <c r="O39" s="38"/>
      <c r="P39" s="38"/>
    </row>
    <row r="40" spans="2:16" ht="15.75" customHeight="1" x14ac:dyDescent="0.15">
      <c r="B40" s="4" t="s">
        <v>242</v>
      </c>
      <c r="C40" s="4" t="s">
        <v>243</v>
      </c>
      <c r="D40" s="38">
        <v>942704</v>
      </c>
      <c r="E40" s="38">
        <v>923821</v>
      </c>
      <c r="F40" s="38">
        <v>750568</v>
      </c>
      <c r="G40" s="38">
        <v>787237</v>
      </c>
      <c r="H40" s="38">
        <v>721650</v>
      </c>
      <c r="J40" s="2"/>
      <c r="L40" s="38"/>
      <c r="M40" s="38"/>
      <c r="N40" s="38"/>
      <c r="O40" s="38"/>
      <c r="P40" s="38"/>
    </row>
    <row r="41" spans="2:16" ht="15.75" customHeight="1" x14ac:dyDescent="0.15">
      <c r="B41" s="4" t="s">
        <v>244</v>
      </c>
      <c r="C41" s="4" t="s">
        <v>245</v>
      </c>
      <c r="D41" s="5" t="s">
        <v>14</v>
      </c>
      <c r="E41" s="5" t="s">
        <v>14</v>
      </c>
      <c r="F41" s="5" t="s">
        <v>14</v>
      </c>
      <c r="G41" s="38">
        <v>124029</v>
      </c>
      <c r="H41" s="38">
        <v>101241</v>
      </c>
      <c r="J41" s="2"/>
      <c r="O41" s="38"/>
      <c r="P41" s="38"/>
    </row>
    <row r="42" spans="2:16" ht="15.75" customHeight="1" x14ac:dyDescent="0.15">
      <c r="B42" s="4" t="s">
        <v>246</v>
      </c>
      <c r="C42" s="4" t="s">
        <v>247</v>
      </c>
      <c r="D42" s="38">
        <v>882054</v>
      </c>
      <c r="E42" s="38">
        <v>1323457</v>
      </c>
      <c r="F42" s="38">
        <v>1646661</v>
      </c>
      <c r="G42" s="38">
        <v>1203299</v>
      </c>
      <c r="H42" s="38">
        <v>1556869</v>
      </c>
      <c r="J42" s="2"/>
      <c r="L42" s="38"/>
      <c r="M42" s="38"/>
      <c r="N42" s="38"/>
      <c r="O42" s="38"/>
      <c r="P42" s="38"/>
    </row>
    <row r="43" spans="2:16" ht="15.75" customHeight="1" x14ac:dyDescent="0.15">
      <c r="B43" s="10" t="s">
        <v>248</v>
      </c>
      <c r="C43" s="10" t="s">
        <v>75</v>
      </c>
      <c r="D43" s="42">
        <v>34256167</v>
      </c>
      <c r="E43" s="42">
        <v>41048838</v>
      </c>
      <c r="F43" s="42">
        <v>47036991</v>
      </c>
      <c r="G43" s="42">
        <v>39344927</v>
      </c>
      <c r="H43" s="42">
        <v>29290702</v>
      </c>
      <c r="J43" s="2"/>
      <c r="L43" s="37"/>
      <c r="M43" s="37"/>
      <c r="N43" s="37"/>
      <c r="O43" s="37"/>
      <c r="P43" s="37"/>
    </row>
    <row r="44" spans="2:16" ht="15.75" customHeight="1" x14ac:dyDescent="0.15">
      <c r="B44" s="2" t="s">
        <v>249</v>
      </c>
      <c r="E44" s="4"/>
      <c r="F44" s="4"/>
      <c r="G44" s="2"/>
      <c r="H44" s="2"/>
    </row>
    <row r="45" spans="2:16" ht="15.75" customHeight="1" x14ac:dyDescent="0.15">
      <c r="B45" s="4" t="s">
        <v>250</v>
      </c>
      <c r="C45" s="4" t="s">
        <v>251</v>
      </c>
      <c r="D45" s="38">
        <v>4127735</v>
      </c>
      <c r="E45" s="38">
        <v>6173900</v>
      </c>
      <c r="F45" s="38">
        <v>7706359</v>
      </c>
      <c r="G45" s="38">
        <v>15994003</v>
      </c>
      <c r="H45" s="38">
        <v>23921708</v>
      </c>
      <c r="J45" s="2"/>
      <c r="L45" s="38"/>
      <c r="M45" s="38"/>
      <c r="N45" s="38"/>
      <c r="O45" s="38"/>
      <c r="P45" s="38"/>
    </row>
    <row r="46" spans="2:16" ht="15.75" customHeight="1" x14ac:dyDescent="0.15">
      <c r="B46" s="4" t="s">
        <v>252</v>
      </c>
      <c r="C46" s="4" t="s">
        <v>253</v>
      </c>
      <c r="D46" s="38">
        <v>1001484</v>
      </c>
      <c r="E46" s="38">
        <v>941492</v>
      </c>
      <c r="F46" s="38">
        <v>1046473</v>
      </c>
      <c r="G46" s="38">
        <v>939417</v>
      </c>
      <c r="H46" s="38">
        <v>1130766</v>
      </c>
      <c r="J46" s="2"/>
      <c r="L46" s="38"/>
      <c r="M46" s="38"/>
      <c r="N46" s="38"/>
      <c r="O46" s="38"/>
      <c r="P46" s="38"/>
    </row>
    <row r="47" spans="2:16" ht="15.75" customHeight="1" x14ac:dyDescent="0.15">
      <c r="B47" s="4" t="s">
        <v>254</v>
      </c>
      <c r="C47" s="4" t="s">
        <v>255</v>
      </c>
      <c r="D47" s="38">
        <v>9459863</v>
      </c>
      <c r="E47" s="38">
        <v>13903111</v>
      </c>
      <c r="F47" s="38">
        <v>12680744</v>
      </c>
      <c r="G47" s="38">
        <v>13042395</v>
      </c>
      <c r="H47" s="38">
        <v>12923973</v>
      </c>
      <c r="J47" s="2"/>
      <c r="L47" s="38"/>
      <c r="M47" s="38"/>
      <c r="N47" s="38"/>
      <c r="O47" s="38"/>
      <c r="P47" s="38"/>
    </row>
    <row r="48" spans="2:16" ht="15.75" customHeight="1" x14ac:dyDescent="0.15">
      <c r="B48" s="4" t="s">
        <v>256</v>
      </c>
      <c r="C48" s="4" t="s">
        <v>78</v>
      </c>
      <c r="D48" s="38">
        <v>2814908</v>
      </c>
      <c r="E48" s="38">
        <v>3962937</v>
      </c>
      <c r="F48" s="38">
        <v>4104603</v>
      </c>
      <c r="G48" s="38">
        <v>4862358</v>
      </c>
      <c r="H48" s="38">
        <v>3960723</v>
      </c>
      <c r="J48" s="2"/>
      <c r="L48" s="38"/>
      <c r="M48" s="38"/>
      <c r="N48" s="38"/>
      <c r="O48" s="38"/>
      <c r="P48" s="38"/>
    </row>
    <row r="49" spans="2:16" ht="15.75" customHeight="1" x14ac:dyDescent="0.15">
      <c r="B49" s="4" t="s">
        <v>257</v>
      </c>
      <c r="C49" s="4" t="s">
        <v>258</v>
      </c>
      <c r="D49" s="38">
        <v>564687</v>
      </c>
      <c r="E49" s="38">
        <v>1417079</v>
      </c>
      <c r="F49" s="38">
        <v>218605</v>
      </c>
      <c r="G49" s="38">
        <v>2314</v>
      </c>
      <c r="H49" s="38">
        <v>204312</v>
      </c>
      <c r="J49" s="2"/>
      <c r="L49" s="38"/>
      <c r="M49" s="38"/>
      <c r="N49" s="38"/>
      <c r="O49" s="38"/>
      <c r="P49" s="38"/>
    </row>
    <row r="50" spans="2:16" ht="15.75" customHeight="1" x14ac:dyDescent="0.15">
      <c r="B50" s="10" t="s">
        <v>259</v>
      </c>
      <c r="C50" s="51" t="s">
        <v>260</v>
      </c>
      <c r="D50" s="42">
        <v>17968677</v>
      </c>
      <c r="E50" s="42">
        <v>26398520</v>
      </c>
      <c r="F50" s="42">
        <v>25756785</v>
      </c>
      <c r="G50" s="42">
        <v>34840488</v>
      </c>
      <c r="H50" s="42">
        <v>42141481</v>
      </c>
      <c r="J50" s="2"/>
      <c r="L50" s="37"/>
      <c r="M50" s="37"/>
      <c r="N50" s="37"/>
      <c r="O50" s="37"/>
      <c r="P50" s="37"/>
    </row>
    <row r="51" spans="2:16" ht="13" x14ac:dyDescent="0.15">
      <c r="B51" s="48" t="s">
        <v>261</v>
      </c>
      <c r="C51" s="48" t="s">
        <v>262</v>
      </c>
      <c r="D51" s="49">
        <v>52224843</v>
      </c>
      <c r="E51" s="49">
        <v>67447358</v>
      </c>
      <c r="F51" s="49">
        <v>72793775</v>
      </c>
      <c r="G51" s="49">
        <v>74185414</v>
      </c>
      <c r="H51" s="49">
        <v>71432183</v>
      </c>
    </row>
    <row r="52" spans="2:16" ht="13" x14ac:dyDescent="0.15">
      <c r="B52" s="52" t="s">
        <v>263</v>
      </c>
      <c r="C52" s="52" t="s">
        <v>234</v>
      </c>
      <c r="D52" s="53">
        <v>128624279</v>
      </c>
      <c r="E52" s="53">
        <v>135378690</v>
      </c>
      <c r="F52" s="53">
        <v>138837836</v>
      </c>
      <c r="G52" s="53">
        <v>135177284</v>
      </c>
      <c r="H52" s="53">
        <v>135716141</v>
      </c>
    </row>
    <row r="53" spans="2:16" ht="13" x14ac:dyDescent="0.15">
      <c r="B53" s="54" t="s">
        <v>264</v>
      </c>
      <c r="C53" s="55"/>
      <c r="D53" s="55">
        <v>180849122</v>
      </c>
      <c r="E53" s="55">
        <v>202826047</v>
      </c>
      <c r="F53" s="55">
        <v>211631611</v>
      </c>
      <c r="G53" s="55">
        <v>209362698</v>
      </c>
      <c r="H53" s="55">
        <v>207148324</v>
      </c>
    </row>
    <row r="55" spans="2:16" ht="13" x14ac:dyDescent="0.15">
      <c r="B55" s="4"/>
      <c r="D55" s="38"/>
      <c r="E55" s="38"/>
      <c r="F55" s="38"/>
      <c r="G55" s="38"/>
      <c r="H55" s="38"/>
    </row>
    <row r="56" spans="2:16" ht="13" x14ac:dyDescent="0.15">
      <c r="B56" s="4"/>
      <c r="D56" s="38"/>
      <c r="E56" s="38"/>
      <c r="F56" s="38"/>
      <c r="G56" s="38"/>
      <c r="H56" s="38"/>
    </row>
    <row r="57" spans="2:16" ht="13" x14ac:dyDescent="0.15">
      <c r="B57" s="4"/>
      <c r="C57" s="4"/>
      <c r="D57" s="38"/>
      <c r="E57" s="38"/>
      <c r="F57" s="38"/>
      <c r="G57" s="38"/>
      <c r="H57" s="38"/>
    </row>
    <row r="59" spans="2:16" ht="13" x14ac:dyDescent="0.15">
      <c r="B59" s="4"/>
      <c r="C59" s="4"/>
      <c r="D59" s="4"/>
      <c r="E59" s="4"/>
      <c r="F59" s="4"/>
      <c r="G59" s="4"/>
      <c r="H59" s="4"/>
    </row>
    <row r="72" spans="2:8" ht="13" x14ac:dyDescent="0.15">
      <c r="B72" s="4"/>
    </row>
    <row r="73" spans="2:8" ht="13" x14ac:dyDescent="0.15">
      <c r="B73" s="4"/>
      <c r="C73" s="4"/>
      <c r="D73" s="4"/>
      <c r="E73" s="4"/>
      <c r="F73" s="4"/>
      <c r="G73" s="4"/>
      <c r="H73" s="4"/>
    </row>
    <row r="82" spans="2:8" ht="13" x14ac:dyDescent="0.15">
      <c r="B82" s="4"/>
    </row>
    <row r="83" spans="2:8" ht="13" x14ac:dyDescent="0.15">
      <c r="B83" s="4"/>
      <c r="C83" s="4"/>
      <c r="D83" s="4"/>
      <c r="E83" s="4"/>
      <c r="F83" s="4"/>
      <c r="G83" s="4"/>
      <c r="H83" s="4"/>
    </row>
    <row r="84" spans="2:8" ht="13" x14ac:dyDescent="0.15">
      <c r="B84" s="4"/>
      <c r="D84" s="38"/>
      <c r="E84" s="38"/>
      <c r="F84" s="38"/>
      <c r="G84" s="38"/>
      <c r="H84" s="38"/>
    </row>
    <row r="86" spans="2:8" ht="13" x14ac:dyDescent="0.15">
      <c r="B86" s="4"/>
    </row>
    <row r="87" spans="2:8" ht="13" x14ac:dyDescent="0.15">
      <c r="B87" s="4"/>
    </row>
    <row r="89" spans="2:8" ht="13" x14ac:dyDescent="0.15">
      <c r="B89" s="4"/>
      <c r="C89" s="4"/>
      <c r="D89" s="4"/>
      <c r="E89" s="4"/>
      <c r="F89" s="4"/>
      <c r="G89" s="4"/>
      <c r="H89" s="4"/>
    </row>
    <row r="99" spans="2:8" ht="13" x14ac:dyDescent="0.15">
      <c r="B99" s="4"/>
    </row>
    <row r="101" spans="2:8" ht="13" x14ac:dyDescent="0.15">
      <c r="B101" s="4"/>
      <c r="C101" s="4"/>
      <c r="D101" s="4"/>
      <c r="E101" s="4"/>
      <c r="F101" s="4"/>
      <c r="G101" s="4"/>
      <c r="H101" s="4"/>
    </row>
    <row r="110" spans="2:8" ht="13" x14ac:dyDescent="0.15">
      <c r="B110" s="4"/>
    </row>
    <row r="111" spans="2:8" ht="13" x14ac:dyDescent="0.15">
      <c r="B111" s="4"/>
      <c r="C111" s="4"/>
      <c r="D111" s="4"/>
      <c r="E111" s="4"/>
      <c r="F111" s="4"/>
      <c r="G111" s="4"/>
      <c r="H111" s="4"/>
    </row>
    <row r="119" spans="2:8" ht="13" x14ac:dyDescent="0.15">
      <c r="B119" s="4"/>
    </row>
    <row r="120" spans="2:8" ht="13" x14ac:dyDescent="0.15">
      <c r="B120" s="4"/>
      <c r="C120" s="4"/>
      <c r="D120" s="4"/>
      <c r="E120" s="4"/>
      <c r="F120" s="4"/>
      <c r="G120" s="4"/>
      <c r="H12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T1002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2" width="65.1640625" customWidth="1"/>
    <col min="3" max="3" width="41.1640625" customWidth="1"/>
    <col min="10" max="10" width="52.83203125" customWidth="1"/>
    <col min="11" max="11" width="41.1640625" customWidth="1"/>
    <col min="12" max="12" width="10.33203125" customWidth="1"/>
    <col min="13" max="13" width="9.5" customWidth="1"/>
  </cols>
  <sheetData>
    <row r="1" spans="2:20" ht="15.75" customHeight="1" x14ac:dyDescent="0.15">
      <c r="B1" s="2" t="s">
        <v>183</v>
      </c>
      <c r="C1" s="2" t="s">
        <v>265</v>
      </c>
      <c r="K1" s="56"/>
      <c r="L1" s="57"/>
      <c r="M1" s="57"/>
      <c r="N1" s="57"/>
      <c r="O1" s="57"/>
      <c r="P1" s="57"/>
    </row>
    <row r="2" spans="2:20" ht="15.75" customHeight="1" x14ac:dyDescent="0.15">
      <c r="K2" s="56"/>
      <c r="L2" s="57"/>
      <c r="M2" s="57"/>
      <c r="N2" s="57"/>
      <c r="O2" s="57"/>
      <c r="P2" s="57"/>
    </row>
    <row r="3" spans="2:20" ht="15.75" customHeight="1" x14ac:dyDescent="0.15">
      <c r="B3" s="6" t="s">
        <v>1</v>
      </c>
      <c r="C3" s="6"/>
      <c r="D3" s="7">
        <v>2020</v>
      </c>
      <c r="E3" s="7">
        <v>2021</v>
      </c>
      <c r="F3" s="7">
        <v>2022</v>
      </c>
      <c r="G3" s="7">
        <v>2023</v>
      </c>
      <c r="H3" s="7">
        <v>2024</v>
      </c>
      <c r="K3" s="56"/>
      <c r="L3" s="57"/>
      <c r="M3" s="57"/>
      <c r="N3" s="57"/>
      <c r="O3" s="57"/>
      <c r="P3" s="57"/>
    </row>
    <row r="4" spans="2:20" ht="15.75" customHeight="1" x14ac:dyDescent="0.15">
      <c r="B4" s="35" t="s">
        <v>136</v>
      </c>
      <c r="C4" s="36" t="s">
        <v>137</v>
      </c>
      <c r="K4" s="56"/>
      <c r="L4" s="57"/>
      <c r="M4" s="57"/>
      <c r="N4" s="57"/>
      <c r="O4" s="57"/>
      <c r="P4" s="57"/>
    </row>
    <row r="5" spans="2:20" ht="15.75" customHeight="1" x14ac:dyDescent="0.15">
      <c r="B5" s="2" t="s">
        <v>266</v>
      </c>
      <c r="C5" s="56" t="s">
        <v>267</v>
      </c>
      <c r="D5" s="57">
        <v>794.697</v>
      </c>
      <c r="E5" s="57" t="s">
        <v>268</v>
      </c>
      <c r="F5" s="57" t="s">
        <v>269</v>
      </c>
      <c r="G5" s="57">
        <v>650.17200000000003</v>
      </c>
      <c r="H5" s="57" t="s">
        <v>270</v>
      </c>
      <c r="K5" s="56"/>
      <c r="L5" s="57"/>
      <c r="M5" s="57"/>
      <c r="N5" s="57"/>
      <c r="O5" s="57"/>
      <c r="P5" s="57"/>
    </row>
    <row r="6" spans="2:20" ht="15.75" customHeight="1" x14ac:dyDescent="0.15">
      <c r="B6" s="4" t="s">
        <v>151</v>
      </c>
      <c r="C6" s="56" t="s">
        <v>271</v>
      </c>
      <c r="D6" s="57" t="s">
        <v>272</v>
      </c>
      <c r="E6" s="57" t="s">
        <v>273</v>
      </c>
      <c r="F6" s="57" t="s">
        <v>274</v>
      </c>
      <c r="G6" s="57" t="s">
        <v>275</v>
      </c>
      <c r="H6" s="57" t="s">
        <v>276</v>
      </c>
      <c r="M6" s="57"/>
      <c r="N6" s="57"/>
      <c r="O6" s="57"/>
      <c r="P6" s="57"/>
    </row>
    <row r="7" spans="2:20" ht="15.75" customHeight="1" x14ac:dyDescent="0.15">
      <c r="B7" s="4" t="s">
        <v>277</v>
      </c>
      <c r="C7" s="56" t="s">
        <v>278</v>
      </c>
      <c r="D7" s="57">
        <v>971.82</v>
      </c>
      <c r="E7" s="57">
        <v>105.074</v>
      </c>
      <c r="F7" s="57">
        <v>115.057</v>
      </c>
      <c r="G7" s="57">
        <v>80.224999999999994</v>
      </c>
      <c r="H7" s="57">
        <v>-122.711</v>
      </c>
      <c r="Q7" s="35"/>
      <c r="R7" s="35"/>
      <c r="S7" s="35"/>
      <c r="T7" s="35"/>
    </row>
    <row r="8" spans="2:20" ht="15.75" customHeight="1" x14ac:dyDescent="0.15">
      <c r="B8" s="4" t="s">
        <v>279</v>
      </c>
      <c r="C8" s="56" t="s">
        <v>280</v>
      </c>
      <c r="D8" s="57">
        <v>-788.12300000000005</v>
      </c>
      <c r="E8" s="57" t="s">
        <v>281</v>
      </c>
      <c r="F8" s="57" t="s">
        <v>282</v>
      </c>
      <c r="G8" s="57">
        <v>855.53399999999999</v>
      </c>
      <c r="H8" s="57">
        <v>660.38400000000001</v>
      </c>
      <c r="R8" s="38"/>
      <c r="S8" s="2"/>
    </row>
    <row r="9" spans="2:20" ht="15.75" customHeight="1" x14ac:dyDescent="0.15">
      <c r="B9" s="4" t="s">
        <v>283</v>
      </c>
      <c r="C9" s="56" t="s">
        <v>284</v>
      </c>
      <c r="D9" s="57">
        <v>510.99799999999999</v>
      </c>
      <c r="E9" s="57">
        <v>800.73500000000001</v>
      </c>
      <c r="F9" s="57" t="s">
        <v>285</v>
      </c>
      <c r="G9" s="57" t="s">
        <v>286</v>
      </c>
      <c r="H9" s="57" t="s">
        <v>287</v>
      </c>
      <c r="R9" s="38"/>
    </row>
    <row r="10" spans="2:20" ht="15.75" customHeight="1" x14ac:dyDescent="0.15">
      <c r="B10" s="2" t="s">
        <v>288</v>
      </c>
      <c r="C10" s="56" t="s">
        <v>289</v>
      </c>
      <c r="D10" s="57" t="s">
        <v>290</v>
      </c>
      <c r="E10" s="57" t="s">
        <v>291</v>
      </c>
      <c r="F10" s="57" t="s">
        <v>292</v>
      </c>
      <c r="G10" s="57" t="s">
        <v>293</v>
      </c>
      <c r="H10" s="57" t="s">
        <v>294</v>
      </c>
      <c r="R10" s="38"/>
    </row>
    <row r="11" spans="2:20" ht="15.75" customHeight="1" x14ac:dyDescent="0.15">
      <c r="B11" s="2" t="s">
        <v>295</v>
      </c>
      <c r="C11" s="58" t="s">
        <v>101</v>
      </c>
      <c r="D11" s="57"/>
      <c r="E11" s="57"/>
      <c r="F11" s="57"/>
      <c r="G11" s="57"/>
      <c r="H11" s="57"/>
      <c r="R11" s="38"/>
    </row>
    <row r="12" spans="2:20" ht="15.75" customHeight="1" x14ac:dyDescent="0.15">
      <c r="B12" s="4" t="s">
        <v>296</v>
      </c>
      <c r="C12" s="56" t="s">
        <v>207</v>
      </c>
      <c r="D12" s="57">
        <v>530.875</v>
      </c>
      <c r="E12" s="57" t="s">
        <v>297</v>
      </c>
      <c r="F12" s="57" t="s">
        <v>298</v>
      </c>
      <c r="G12" s="57" t="s">
        <v>299</v>
      </c>
      <c r="H12" s="57">
        <v>-418.005</v>
      </c>
      <c r="R12" s="38"/>
    </row>
    <row r="13" spans="2:20" ht="15.75" customHeight="1" x14ac:dyDescent="0.15">
      <c r="B13" s="4"/>
      <c r="C13" s="56" t="s">
        <v>209</v>
      </c>
      <c r="D13" s="57" t="s">
        <v>300</v>
      </c>
      <c r="E13" s="57" t="s">
        <v>301</v>
      </c>
      <c r="F13" s="57" t="s">
        <v>302</v>
      </c>
      <c r="G13" s="57" t="s">
        <v>303</v>
      </c>
      <c r="H13" s="57" t="s">
        <v>304</v>
      </c>
      <c r="R13" s="38"/>
      <c r="S13" s="2"/>
    </row>
    <row r="14" spans="2:20" ht="15.75" customHeight="1" x14ac:dyDescent="0.15">
      <c r="B14" s="4" t="s">
        <v>208</v>
      </c>
      <c r="C14" s="56" t="s">
        <v>305</v>
      </c>
      <c r="D14" s="57">
        <v>-146.892</v>
      </c>
      <c r="E14" s="57">
        <v>-108.32</v>
      </c>
      <c r="F14" s="57">
        <v>-115.057</v>
      </c>
      <c r="G14" s="57">
        <v>0</v>
      </c>
      <c r="H14" s="57">
        <v>0</v>
      </c>
      <c r="R14" s="2"/>
      <c r="S14" s="2"/>
      <c r="T14" s="2"/>
    </row>
    <row r="15" spans="2:20" ht="15.75" customHeight="1" x14ac:dyDescent="0.15">
      <c r="B15" s="4" t="s">
        <v>254</v>
      </c>
      <c r="C15" s="56" t="s">
        <v>255</v>
      </c>
      <c r="D15" s="57">
        <v>-719.77</v>
      </c>
      <c r="E15" s="57" t="s">
        <v>306</v>
      </c>
      <c r="F15" s="57" t="s">
        <v>307</v>
      </c>
      <c r="G15" s="57">
        <v>361.65100000000001</v>
      </c>
      <c r="H15" s="57">
        <v>-118.422</v>
      </c>
    </row>
    <row r="16" spans="2:20" ht="15.75" customHeight="1" x14ac:dyDescent="0.15">
      <c r="B16" s="4" t="s">
        <v>308</v>
      </c>
      <c r="C16" s="56" t="s">
        <v>309</v>
      </c>
      <c r="D16" s="57">
        <v>910.35799999999995</v>
      </c>
      <c r="E16" s="57" t="s">
        <v>310</v>
      </c>
      <c r="F16" s="57">
        <v>-647.29300000000001</v>
      </c>
      <c r="G16" s="57">
        <v>439.62599999999998</v>
      </c>
      <c r="H16" s="57">
        <v>-680.33600000000001</v>
      </c>
    </row>
    <row r="17" spans="2:20" ht="15.75" customHeight="1" x14ac:dyDescent="0.15">
      <c r="B17" s="2" t="s">
        <v>311</v>
      </c>
      <c r="C17" s="56" t="s">
        <v>312</v>
      </c>
      <c r="D17" s="57" t="s">
        <v>313</v>
      </c>
      <c r="E17" s="57">
        <v>388.86599999999999</v>
      </c>
      <c r="F17" s="57" t="s">
        <v>314</v>
      </c>
      <c r="G17" s="57">
        <v>-928.76400000000001</v>
      </c>
      <c r="H17" s="57" t="s">
        <v>315</v>
      </c>
    </row>
    <row r="18" spans="2:20" ht="15.75" customHeight="1" x14ac:dyDescent="0.15">
      <c r="B18" s="2" t="s">
        <v>316</v>
      </c>
      <c r="C18" s="58" t="s">
        <v>317</v>
      </c>
      <c r="D18" s="57"/>
      <c r="E18" s="57"/>
      <c r="F18" s="57"/>
      <c r="G18" s="57"/>
      <c r="H18" s="57"/>
    </row>
    <row r="19" spans="2:20" ht="15.75" customHeight="1" x14ac:dyDescent="0.15">
      <c r="B19" s="4" t="s">
        <v>318</v>
      </c>
      <c r="C19" s="56" t="s">
        <v>319</v>
      </c>
      <c r="D19" s="57">
        <v>-540.93299999999999</v>
      </c>
      <c r="E19" s="57" t="s">
        <v>320</v>
      </c>
      <c r="F19" s="57" t="s">
        <v>321</v>
      </c>
      <c r="G19" s="57">
        <v>-707.17</v>
      </c>
      <c r="H19" s="57">
        <v>-417.54199999999997</v>
      </c>
    </row>
    <row r="20" spans="2:20" ht="15.75" customHeight="1" x14ac:dyDescent="0.15">
      <c r="B20" s="4" t="s">
        <v>322</v>
      </c>
      <c r="C20" s="56" t="s">
        <v>323</v>
      </c>
      <c r="D20" s="57">
        <v>-595.74800000000005</v>
      </c>
      <c r="E20" s="57">
        <v>-875.73500000000001</v>
      </c>
      <c r="F20" s="57" t="s">
        <v>324</v>
      </c>
      <c r="G20" s="57" t="s">
        <v>325</v>
      </c>
      <c r="H20" s="57" t="s">
        <v>326</v>
      </c>
      <c r="R20" s="38"/>
      <c r="S20" s="2"/>
    </row>
    <row r="21" spans="2:20" ht="15.75" customHeight="1" x14ac:dyDescent="0.15">
      <c r="B21" s="4" t="s">
        <v>327</v>
      </c>
      <c r="C21" s="56" t="s">
        <v>328</v>
      </c>
      <c r="D21" s="57">
        <v>84.75</v>
      </c>
      <c r="E21" s="57">
        <v>75</v>
      </c>
      <c r="F21" s="57">
        <v>82.5</v>
      </c>
      <c r="G21" s="57">
        <v>90</v>
      </c>
      <c r="H21" s="57">
        <v>0</v>
      </c>
      <c r="R21" s="38"/>
      <c r="S21" s="2"/>
      <c r="T21" s="2"/>
    </row>
    <row r="22" spans="2:20" ht="15.75" customHeight="1" x14ac:dyDescent="0.15">
      <c r="B22" s="4" t="s">
        <v>329</v>
      </c>
      <c r="C22" s="56" t="s">
        <v>330</v>
      </c>
      <c r="D22" s="57">
        <v>46.374000000000002</v>
      </c>
      <c r="E22" s="57">
        <v>-18.882999999999999</v>
      </c>
      <c r="F22" s="57">
        <v>-41.496000000000002</v>
      </c>
      <c r="G22" s="57">
        <v>0</v>
      </c>
      <c r="H22" s="57">
        <v>0</v>
      </c>
      <c r="R22" s="37"/>
    </row>
    <row r="23" spans="2:20" ht="15.75" customHeight="1" x14ac:dyDescent="0.15">
      <c r="B23" s="2" t="s">
        <v>331</v>
      </c>
      <c r="C23" s="56" t="s">
        <v>332</v>
      </c>
      <c r="D23" s="57" t="s">
        <v>333</v>
      </c>
      <c r="E23" s="57" t="s">
        <v>334</v>
      </c>
      <c r="F23" s="57" t="s">
        <v>335</v>
      </c>
      <c r="G23" s="57" t="s">
        <v>336</v>
      </c>
      <c r="H23" s="57" t="s">
        <v>337</v>
      </c>
      <c r="R23" s="38"/>
    </row>
    <row r="24" spans="2:20" ht="15.75" customHeight="1" x14ac:dyDescent="0.15">
      <c r="B24" s="2" t="s">
        <v>338</v>
      </c>
      <c r="C24" s="58" t="s">
        <v>339</v>
      </c>
      <c r="D24" s="57" t="s">
        <v>340</v>
      </c>
      <c r="E24" s="57" t="s">
        <v>341</v>
      </c>
      <c r="F24" s="57" t="s">
        <v>342</v>
      </c>
      <c r="G24" s="57" t="s">
        <v>343</v>
      </c>
      <c r="H24" s="57">
        <v>-209.50800000000001</v>
      </c>
      <c r="R24" s="38"/>
    </row>
    <row r="25" spans="2:20" ht="15.75" customHeight="1" x14ac:dyDescent="0.15">
      <c r="B25" s="2" t="s">
        <v>344</v>
      </c>
      <c r="C25" s="58" t="s">
        <v>345</v>
      </c>
      <c r="D25" s="57"/>
      <c r="E25" s="57"/>
      <c r="F25" s="57"/>
      <c r="G25" s="57"/>
      <c r="H25" s="57"/>
    </row>
    <row r="26" spans="2:20" ht="15.75" customHeight="1" x14ac:dyDescent="0.15">
      <c r="B26" s="4" t="s">
        <v>346</v>
      </c>
      <c r="C26" s="56" t="s">
        <v>347</v>
      </c>
      <c r="D26" s="57" t="s">
        <v>348</v>
      </c>
      <c r="E26" s="57" t="s">
        <v>349</v>
      </c>
      <c r="F26" s="57" t="s">
        <v>350</v>
      </c>
      <c r="G26" s="57" t="s">
        <v>351</v>
      </c>
      <c r="H26" s="57" t="s">
        <v>352</v>
      </c>
      <c r="S26" s="2"/>
    </row>
    <row r="27" spans="2:20" ht="15.75" customHeight="1" x14ac:dyDescent="0.15">
      <c r="B27" s="4" t="s">
        <v>353</v>
      </c>
      <c r="C27" s="56" t="s">
        <v>354</v>
      </c>
      <c r="D27" s="57">
        <v>23.728999999999999</v>
      </c>
      <c r="E27" s="57">
        <v>30.356999999999999</v>
      </c>
      <c r="F27" s="57">
        <v>95.545000000000002</v>
      </c>
      <c r="G27" s="57">
        <v>316.28399999999999</v>
      </c>
      <c r="H27" s="57">
        <v>154.13900000000001</v>
      </c>
      <c r="S27" s="2"/>
      <c r="T27" s="2"/>
    </row>
    <row r="28" spans="2:20" ht="15.75" customHeight="1" x14ac:dyDescent="0.15">
      <c r="B28" s="4" t="s">
        <v>355</v>
      </c>
      <c r="C28" s="56" t="s">
        <v>356</v>
      </c>
      <c r="D28" s="57">
        <v>-214.227</v>
      </c>
      <c r="E28" s="57">
        <v>-213.49700000000001</v>
      </c>
      <c r="F28" s="57">
        <v>-105.375</v>
      </c>
      <c r="G28" s="57">
        <v>-152.666</v>
      </c>
      <c r="H28" s="57">
        <v>-216.08799999999999</v>
      </c>
      <c r="S28" s="2"/>
      <c r="T28" s="2"/>
    </row>
    <row r="29" spans="2:20" ht="15.75" customHeight="1" x14ac:dyDescent="0.15">
      <c r="B29" s="4" t="s">
        <v>357</v>
      </c>
      <c r="C29" s="56" t="s">
        <v>358</v>
      </c>
      <c r="D29" s="59">
        <v>32</v>
      </c>
      <c r="E29" s="5" t="s">
        <v>14</v>
      </c>
      <c r="F29" s="5" t="s">
        <v>14</v>
      </c>
      <c r="G29" s="5" t="s">
        <v>14</v>
      </c>
      <c r="H29" s="5" t="s">
        <v>14</v>
      </c>
      <c r="R29" s="2"/>
    </row>
    <row r="30" spans="2:20" ht="15.75" customHeight="1" x14ac:dyDescent="0.15">
      <c r="B30" s="4" t="s">
        <v>359</v>
      </c>
      <c r="C30" s="56" t="s">
        <v>360</v>
      </c>
      <c r="D30" s="57">
        <v>68.649000000000001</v>
      </c>
      <c r="E30" s="57" t="s">
        <v>361</v>
      </c>
      <c r="F30" s="57" t="s">
        <v>362</v>
      </c>
      <c r="G30" s="57" t="s">
        <v>363</v>
      </c>
      <c r="H30" s="57" t="s">
        <v>364</v>
      </c>
      <c r="R30" s="2"/>
    </row>
    <row r="31" spans="2:20" ht="15.75" customHeight="1" x14ac:dyDescent="0.15">
      <c r="B31" s="2" t="s">
        <v>365</v>
      </c>
      <c r="C31" s="56" t="s">
        <v>366</v>
      </c>
      <c r="D31" s="60" t="s">
        <v>367</v>
      </c>
      <c r="E31" s="57" t="s">
        <v>368</v>
      </c>
      <c r="F31" s="57" t="s">
        <v>369</v>
      </c>
      <c r="G31" s="57" t="s">
        <v>370</v>
      </c>
      <c r="H31" s="57" t="s">
        <v>371</v>
      </c>
      <c r="R31" s="38"/>
    </row>
    <row r="32" spans="2:20" ht="15.75" customHeight="1" x14ac:dyDescent="0.15">
      <c r="B32" s="2" t="s">
        <v>372</v>
      </c>
      <c r="C32" s="56" t="s">
        <v>373</v>
      </c>
      <c r="D32" s="57" t="s">
        <v>374</v>
      </c>
      <c r="E32" s="57" t="s">
        <v>375</v>
      </c>
      <c r="F32" s="57" t="s">
        <v>376</v>
      </c>
      <c r="G32" s="57" t="s">
        <v>377</v>
      </c>
      <c r="H32" s="57" t="s">
        <v>378</v>
      </c>
      <c r="R32" s="38"/>
    </row>
    <row r="33" spans="2:20" ht="15.75" customHeight="1" x14ac:dyDescent="0.15">
      <c r="B33" s="2" t="s">
        <v>379</v>
      </c>
      <c r="C33" s="58" t="s">
        <v>380</v>
      </c>
      <c r="D33" s="57"/>
      <c r="E33" s="57"/>
      <c r="F33" s="57"/>
      <c r="G33" s="57"/>
      <c r="H33" s="57"/>
      <c r="R33" s="38"/>
    </row>
    <row r="34" spans="2:20" ht="15.75" customHeight="1" x14ac:dyDescent="0.15">
      <c r="B34" s="4" t="s">
        <v>381</v>
      </c>
      <c r="C34" s="56" t="s">
        <v>382</v>
      </c>
      <c r="D34" s="57" t="s">
        <v>383</v>
      </c>
      <c r="E34" s="57" t="s">
        <v>384</v>
      </c>
      <c r="F34" s="57" t="s">
        <v>385</v>
      </c>
      <c r="G34" s="57" t="s">
        <v>386</v>
      </c>
      <c r="H34" s="57" t="s">
        <v>387</v>
      </c>
      <c r="R34" s="38"/>
    </row>
    <row r="35" spans="2:20" ht="15.75" customHeight="1" x14ac:dyDescent="0.15">
      <c r="B35" s="4" t="s">
        <v>388</v>
      </c>
      <c r="C35" s="56" t="s">
        <v>389</v>
      </c>
      <c r="D35" s="57" t="s">
        <v>390</v>
      </c>
      <c r="E35" s="57" t="s">
        <v>391</v>
      </c>
      <c r="F35" s="57" t="s">
        <v>392</v>
      </c>
      <c r="G35" s="57">
        <v>0</v>
      </c>
      <c r="H35" s="57">
        <v>0</v>
      </c>
      <c r="R35" s="38"/>
      <c r="S35" s="2"/>
    </row>
    <row r="36" spans="2:20" ht="15.75" customHeight="1" x14ac:dyDescent="0.15">
      <c r="B36" s="4" t="s">
        <v>393</v>
      </c>
      <c r="C36" s="56" t="s">
        <v>394</v>
      </c>
      <c r="D36" s="5" t="s">
        <v>14</v>
      </c>
      <c r="E36" s="5" t="s">
        <v>14</v>
      </c>
      <c r="F36" s="5" t="s">
        <v>14</v>
      </c>
      <c r="G36" s="57" t="s">
        <v>395</v>
      </c>
      <c r="H36" s="57" t="s">
        <v>396</v>
      </c>
      <c r="S36" s="2"/>
    </row>
    <row r="37" spans="2:20" ht="15.75" customHeight="1" x14ac:dyDescent="0.15">
      <c r="B37" s="4" t="s">
        <v>397</v>
      </c>
      <c r="C37" s="56" t="s">
        <v>398</v>
      </c>
      <c r="D37" s="57" t="s">
        <v>399</v>
      </c>
      <c r="E37" s="5" t="s">
        <v>14</v>
      </c>
      <c r="F37" s="57" t="s">
        <v>400</v>
      </c>
      <c r="G37" s="57" t="s">
        <v>401</v>
      </c>
      <c r="H37" s="57">
        <v>-964.53499999999997</v>
      </c>
      <c r="S37" s="2"/>
      <c r="T37" s="2"/>
    </row>
    <row r="38" spans="2:20" ht="15.75" customHeight="1" x14ac:dyDescent="0.15">
      <c r="B38" s="4" t="s">
        <v>402</v>
      </c>
      <c r="C38" s="56" t="s">
        <v>403</v>
      </c>
      <c r="D38" s="57">
        <v>-919.37699999999995</v>
      </c>
      <c r="E38" s="57">
        <v>-992.97799999999995</v>
      </c>
      <c r="F38" s="57" t="s">
        <v>404</v>
      </c>
      <c r="G38" s="57" t="s">
        <v>405</v>
      </c>
      <c r="H38" s="57" t="s">
        <v>406</v>
      </c>
      <c r="R38" s="2"/>
    </row>
    <row r="39" spans="2:20" ht="15.75" customHeight="1" x14ac:dyDescent="0.15">
      <c r="B39" s="2" t="s">
        <v>407</v>
      </c>
      <c r="C39" s="56" t="s">
        <v>408</v>
      </c>
      <c r="D39" s="57" t="s">
        <v>409</v>
      </c>
      <c r="E39" s="57" t="s">
        <v>410</v>
      </c>
      <c r="F39" s="57" t="s">
        <v>411</v>
      </c>
      <c r="G39" s="57" t="s">
        <v>412</v>
      </c>
      <c r="H39" s="57" t="s">
        <v>413</v>
      </c>
    </row>
    <row r="40" spans="2:20" ht="15.75" customHeight="1" x14ac:dyDescent="0.15">
      <c r="B40" s="4" t="s">
        <v>414</v>
      </c>
      <c r="C40" s="56" t="s">
        <v>415</v>
      </c>
      <c r="D40" s="5" t="s">
        <v>14</v>
      </c>
      <c r="E40" s="57">
        <v>1210253</v>
      </c>
      <c r="F40" s="57">
        <v>838.49900000000002</v>
      </c>
      <c r="G40" s="57" t="s">
        <v>416</v>
      </c>
      <c r="H40" s="57" t="s">
        <v>417</v>
      </c>
      <c r="R40" s="38"/>
    </row>
    <row r="41" spans="2:20" ht="15.75" customHeight="1" x14ac:dyDescent="0.15">
      <c r="B41" s="2" t="s">
        <v>418</v>
      </c>
      <c r="C41" s="58" t="s">
        <v>419</v>
      </c>
      <c r="D41" s="57" t="s">
        <v>420</v>
      </c>
      <c r="E41" s="57" t="s">
        <v>421</v>
      </c>
      <c r="F41" s="57">
        <v>747.05399999999997</v>
      </c>
      <c r="G41" s="57" t="s">
        <v>422</v>
      </c>
      <c r="H41" s="57" t="s">
        <v>423</v>
      </c>
    </row>
    <row r="42" spans="2:20" ht="15.75" customHeight="1" x14ac:dyDescent="0.15">
      <c r="B42" s="4" t="s">
        <v>424</v>
      </c>
      <c r="C42" s="56" t="s">
        <v>425</v>
      </c>
      <c r="D42" s="57" t="s">
        <v>426</v>
      </c>
      <c r="E42" s="57" t="s">
        <v>427</v>
      </c>
      <c r="F42" s="57" t="s">
        <v>428</v>
      </c>
      <c r="G42" s="57" t="s">
        <v>429</v>
      </c>
      <c r="H42" s="57" t="s">
        <v>430</v>
      </c>
      <c r="S42" s="2"/>
    </row>
    <row r="43" spans="2:20" ht="15.75" customHeight="1" x14ac:dyDescent="0.15">
      <c r="B43" s="4" t="s">
        <v>431</v>
      </c>
      <c r="C43" s="56" t="s">
        <v>432</v>
      </c>
      <c r="D43" s="57" t="s">
        <v>427</v>
      </c>
      <c r="E43" s="57" t="s">
        <v>428</v>
      </c>
      <c r="F43" s="57" t="s">
        <v>429</v>
      </c>
      <c r="G43" s="57" t="s">
        <v>430</v>
      </c>
      <c r="H43" s="57" t="s">
        <v>433</v>
      </c>
    </row>
    <row r="44" spans="2:20" ht="15.75" customHeight="1" x14ac:dyDescent="0.15">
      <c r="S44" s="2"/>
      <c r="T44" s="2"/>
    </row>
    <row r="45" spans="2:20" ht="15.75" customHeight="1" x14ac:dyDescent="0.15">
      <c r="R45" s="2"/>
    </row>
    <row r="47" spans="2:20" ht="15.75" customHeight="1" x14ac:dyDescent="0.15">
      <c r="J47" s="2"/>
      <c r="K47" s="56"/>
      <c r="L47" s="57"/>
      <c r="M47" s="57"/>
      <c r="N47" s="57"/>
      <c r="O47" s="57"/>
      <c r="P47" s="57"/>
      <c r="R47" s="38"/>
    </row>
    <row r="48" spans="2:20" ht="15.75" customHeight="1" x14ac:dyDescent="0.15">
      <c r="J48" s="2"/>
      <c r="K48" s="56"/>
      <c r="L48" s="57"/>
      <c r="M48" s="57"/>
      <c r="N48" s="57"/>
      <c r="O48" s="57"/>
      <c r="P48" s="57"/>
      <c r="Q48" s="38"/>
      <c r="R48" s="38"/>
    </row>
    <row r="49" spans="10:18" ht="15.75" customHeight="1" x14ac:dyDescent="0.15">
      <c r="J49" s="2"/>
      <c r="K49" s="56"/>
      <c r="L49" s="57"/>
      <c r="M49" s="57"/>
      <c r="N49" s="57"/>
      <c r="O49" s="57"/>
      <c r="P49" s="57"/>
      <c r="Q49" s="38"/>
      <c r="R49" s="38"/>
    </row>
    <row r="50" spans="10:18" ht="15.75" customHeight="1" x14ac:dyDescent="0.15">
      <c r="J50" s="2"/>
      <c r="K50" s="56"/>
      <c r="L50" s="57"/>
      <c r="M50" s="57"/>
      <c r="N50" s="57"/>
      <c r="O50" s="57"/>
      <c r="P50" s="57"/>
      <c r="Q50" s="38"/>
      <c r="R50" s="38"/>
    </row>
    <row r="51" spans="10:18" ht="13" x14ac:dyDescent="0.15">
      <c r="J51" s="2"/>
      <c r="K51" s="58"/>
      <c r="L51" s="61"/>
      <c r="M51" s="61"/>
      <c r="N51" s="61"/>
      <c r="O51" s="57"/>
      <c r="P51" s="57"/>
      <c r="Q51" s="37"/>
      <c r="R51" s="37"/>
    </row>
    <row r="52" spans="10:18" ht="13" x14ac:dyDescent="0.15">
      <c r="K52" s="56"/>
      <c r="L52" s="57"/>
      <c r="M52" s="57"/>
      <c r="N52" s="57"/>
      <c r="O52" s="57"/>
      <c r="P52" s="57"/>
    </row>
    <row r="53" spans="10:18" ht="13" x14ac:dyDescent="0.15">
      <c r="K53" s="56"/>
      <c r="L53" s="57"/>
      <c r="M53" s="57"/>
      <c r="N53" s="57"/>
      <c r="O53" s="57"/>
      <c r="P53" s="57"/>
    </row>
    <row r="54" spans="10:18" ht="13" x14ac:dyDescent="0.15">
      <c r="K54" s="56"/>
      <c r="L54" s="57"/>
      <c r="M54" s="57"/>
      <c r="N54" s="57"/>
      <c r="O54" s="57"/>
      <c r="P54" s="57"/>
    </row>
    <row r="55" spans="10:18" ht="13" x14ac:dyDescent="0.15">
      <c r="K55" s="56"/>
      <c r="L55" s="57"/>
      <c r="M55" s="57"/>
      <c r="N55" s="57"/>
      <c r="O55" s="57"/>
      <c r="P55" s="57"/>
    </row>
    <row r="56" spans="10:18" ht="13" x14ac:dyDescent="0.15">
      <c r="K56" s="56"/>
      <c r="L56" s="57"/>
      <c r="M56" s="57"/>
      <c r="N56" s="57"/>
      <c r="O56" s="57"/>
      <c r="P56" s="57"/>
    </row>
    <row r="57" spans="10:18" ht="13" x14ac:dyDescent="0.15">
      <c r="J57" s="35"/>
      <c r="K57" s="36"/>
      <c r="L57" s="61"/>
      <c r="M57" s="61"/>
      <c r="N57" s="61"/>
      <c r="O57" s="57"/>
      <c r="P57" s="57"/>
      <c r="Q57" s="35"/>
      <c r="R57" s="35"/>
    </row>
    <row r="58" spans="10:18" ht="13" x14ac:dyDescent="0.15">
      <c r="J58" s="2"/>
      <c r="K58" s="56"/>
      <c r="L58" s="57"/>
      <c r="M58" s="57"/>
      <c r="N58" s="57"/>
      <c r="O58" s="57"/>
      <c r="P58" s="57"/>
      <c r="Q58" s="38"/>
      <c r="R58" s="38"/>
    </row>
    <row r="59" spans="10:18" ht="13" x14ac:dyDescent="0.15">
      <c r="J59" s="2"/>
      <c r="K59" s="56"/>
      <c r="L59" s="57"/>
      <c r="M59" s="57"/>
      <c r="N59" s="57"/>
      <c r="O59" s="57"/>
      <c r="P59" s="57"/>
    </row>
    <row r="60" spans="10:18" ht="13" x14ac:dyDescent="0.15">
      <c r="J60" s="2"/>
      <c r="K60" s="56"/>
      <c r="L60" s="57"/>
      <c r="M60" s="57"/>
      <c r="N60" s="57"/>
      <c r="O60" s="57"/>
      <c r="P60" s="57"/>
    </row>
    <row r="61" spans="10:18" ht="13" x14ac:dyDescent="0.15">
      <c r="J61" s="2"/>
      <c r="K61" s="56"/>
      <c r="L61" s="57"/>
      <c r="M61" s="57"/>
      <c r="N61" s="57"/>
      <c r="O61" s="57"/>
      <c r="P61" s="57"/>
    </row>
    <row r="62" spans="10:18" ht="13" x14ac:dyDescent="0.15">
      <c r="J62" s="2"/>
      <c r="K62" s="56"/>
      <c r="L62" s="57"/>
      <c r="M62" s="57"/>
      <c r="N62" s="57"/>
      <c r="O62" s="57"/>
      <c r="P62" s="57"/>
    </row>
    <row r="63" spans="10:18" ht="13" x14ac:dyDescent="0.15">
      <c r="K63" s="56"/>
      <c r="L63" s="57"/>
      <c r="M63" s="57"/>
      <c r="N63" s="57"/>
      <c r="O63" s="57"/>
      <c r="P63" s="57"/>
    </row>
    <row r="64" spans="10:18" ht="13" x14ac:dyDescent="0.15">
      <c r="K64" s="56"/>
      <c r="L64" s="57"/>
      <c r="M64" s="57"/>
      <c r="N64" s="57"/>
      <c r="O64" s="57"/>
      <c r="P64" s="57"/>
    </row>
    <row r="65" spans="10:18" ht="13" x14ac:dyDescent="0.15">
      <c r="J65" s="62"/>
      <c r="K65" s="56"/>
      <c r="L65" s="57"/>
      <c r="M65" s="57"/>
      <c r="N65" s="57"/>
      <c r="O65" s="57"/>
      <c r="P65" s="57"/>
    </row>
    <row r="66" spans="10:18" ht="13" x14ac:dyDescent="0.15">
      <c r="K66" s="56"/>
      <c r="L66" s="57"/>
      <c r="M66" s="57"/>
      <c r="N66" s="57"/>
      <c r="O66" s="57"/>
      <c r="P66" s="57"/>
    </row>
    <row r="67" spans="10:18" ht="13" x14ac:dyDescent="0.15">
      <c r="K67" s="56"/>
      <c r="L67" s="57"/>
      <c r="M67" s="57"/>
      <c r="N67" s="57"/>
      <c r="O67" s="57"/>
      <c r="P67" s="57"/>
    </row>
    <row r="68" spans="10:18" ht="13" x14ac:dyDescent="0.15">
      <c r="K68" s="56"/>
      <c r="L68" s="61"/>
      <c r="M68" s="61"/>
      <c r="N68" s="61"/>
      <c r="O68" s="57"/>
      <c r="P68" s="57"/>
      <c r="Q68" s="35"/>
      <c r="R68" s="35"/>
    </row>
    <row r="69" spans="10:18" ht="13" x14ac:dyDescent="0.15">
      <c r="K69" s="56"/>
      <c r="L69" s="57"/>
      <c r="M69" s="57"/>
      <c r="N69" s="57"/>
      <c r="O69" s="57"/>
      <c r="P69" s="57"/>
    </row>
    <row r="70" spans="10:18" ht="13" x14ac:dyDescent="0.15">
      <c r="K70" s="56"/>
      <c r="L70" s="57"/>
      <c r="M70" s="57"/>
      <c r="N70" s="57"/>
      <c r="O70" s="57"/>
      <c r="P70" s="57"/>
    </row>
    <row r="71" spans="10:18" ht="13" x14ac:dyDescent="0.15">
      <c r="K71" s="56"/>
      <c r="L71" s="57"/>
      <c r="M71" s="57"/>
      <c r="N71" s="57"/>
      <c r="O71" s="57"/>
      <c r="P71" s="57"/>
    </row>
    <row r="72" spans="10:18" ht="13" x14ac:dyDescent="0.15">
      <c r="K72" s="56"/>
      <c r="L72" s="57"/>
      <c r="M72" s="57"/>
      <c r="N72" s="57"/>
      <c r="O72" s="57"/>
      <c r="P72" s="57"/>
    </row>
    <row r="73" spans="10:18" ht="13" x14ac:dyDescent="0.15">
      <c r="J73" s="35"/>
      <c r="K73" s="36"/>
      <c r="L73" s="61"/>
      <c r="M73" s="61"/>
      <c r="N73" s="61"/>
      <c r="O73" s="57"/>
      <c r="P73" s="57"/>
      <c r="Q73" s="35"/>
      <c r="R73" s="35"/>
    </row>
    <row r="74" spans="10:18" ht="13" x14ac:dyDescent="0.15">
      <c r="J74" s="2"/>
      <c r="K74" s="56"/>
      <c r="L74" s="57"/>
      <c r="M74" s="57"/>
      <c r="N74" s="57"/>
      <c r="O74" s="57"/>
      <c r="P74" s="57"/>
      <c r="Q74" s="38"/>
      <c r="R74" s="38"/>
    </row>
    <row r="75" spans="10:18" ht="13" x14ac:dyDescent="0.15">
      <c r="J75" s="2"/>
      <c r="K75" s="56"/>
      <c r="L75" s="57"/>
      <c r="M75" s="57"/>
      <c r="N75" s="57"/>
      <c r="O75" s="57"/>
      <c r="P75" s="57"/>
      <c r="Q75" s="38"/>
      <c r="R75" s="38"/>
    </row>
    <row r="76" spans="10:18" ht="13" x14ac:dyDescent="0.15">
      <c r="J76" s="2"/>
      <c r="K76" s="56"/>
      <c r="L76" s="57"/>
      <c r="M76" s="57"/>
      <c r="N76" s="57"/>
      <c r="O76" s="57"/>
      <c r="P76" s="57"/>
      <c r="Q76" s="38"/>
      <c r="R76" s="38"/>
    </row>
    <row r="77" spans="10:18" ht="13" x14ac:dyDescent="0.15">
      <c r="K77" s="56"/>
      <c r="L77" s="57"/>
      <c r="M77" s="57"/>
      <c r="N77" s="57"/>
      <c r="O77" s="57"/>
      <c r="P77" s="57"/>
    </row>
    <row r="78" spans="10:18" ht="13" x14ac:dyDescent="0.15">
      <c r="K78" s="56"/>
      <c r="L78" s="57"/>
      <c r="M78" s="57"/>
      <c r="N78" s="57"/>
      <c r="O78" s="57"/>
      <c r="P78" s="57"/>
    </row>
    <row r="79" spans="10:18" ht="13" x14ac:dyDescent="0.15">
      <c r="K79" s="56"/>
      <c r="L79" s="57"/>
      <c r="M79" s="57"/>
      <c r="N79" s="57"/>
      <c r="O79" s="57"/>
      <c r="P79" s="57"/>
    </row>
    <row r="80" spans="10:18" ht="13" x14ac:dyDescent="0.15">
      <c r="K80" s="56"/>
      <c r="L80" s="57"/>
      <c r="M80" s="57"/>
      <c r="N80" s="57"/>
      <c r="O80" s="57"/>
      <c r="P80" s="57"/>
    </row>
    <row r="81" spans="11:16" ht="13" x14ac:dyDescent="0.15">
      <c r="K81" s="56"/>
      <c r="L81" s="57"/>
      <c r="M81" s="57"/>
      <c r="N81" s="57"/>
      <c r="O81" s="57"/>
      <c r="P81" s="57"/>
    </row>
    <row r="82" spans="11:16" ht="13" x14ac:dyDescent="0.15">
      <c r="K82" s="56"/>
      <c r="L82" s="57"/>
      <c r="M82" s="57"/>
      <c r="N82" s="57"/>
      <c r="O82" s="57"/>
      <c r="P82" s="57"/>
    </row>
    <row r="83" spans="11:16" ht="13" x14ac:dyDescent="0.15">
      <c r="K83" s="56"/>
      <c r="L83" s="57"/>
      <c r="M83" s="57"/>
      <c r="N83" s="57"/>
      <c r="O83" s="57"/>
      <c r="P83" s="57"/>
    </row>
    <row r="84" spans="11:16" ht="13" x14ac:dyDescent="0.15">
      <c r="K84" s="56"/>
      <c r="L84" s="57"/>
      <c r="M84" s="57"/>
      <c r="N84" s="57"/>
      <c r="O84" s="57"/>
      <c r="P84" s="57"/>
    </row>
    <row r="85" spans="11:16" ht="13" x14ac:dyDescent="0.15">
      <c r="K85" s="56"/>
      <c r="L85" s="57"/>
      <c r="M85" s="57"/>
      <c r="N85" s="57"/>
      <c r="O85" s="57"/>
      <c r="P85" s="57"/>
    </row>
    <row r="86" spans="11:16" ht="13" x14ac:dyDescent="0.15">
      <c r="K86" s="56"/>
      <c r="L86" s="57"/>
      <c r="M86" s="57"/>
      <c r="N86" s="57"/>
      <c r="O86" s="57"/>
      <c r="P86" s="57"/>
    </row>
    <row r="87" spans="11:16" ht="13" x14ac:dyDescent="0.15">
      <c r="K87" s="56"/>
      <c r="L87" s="57"/>
      <c r="M87" s="57"/>
      <c r="N87" s="57"/>
      <c r="O87" s="57"/>
      <c r="P87" s="57"/>
    </row>
    <row r="88" spans="11:16" ht="13" x14ac:dyDescent="0.15">
      <c r="K88" s="56"/>
      <c r="L88" s="57"/>
      <c r="M88" s="57"/>
      <c r="N88" s="57"/>
      <c r="O88" s="57"/>
      <c r="P88" s="57"/>
    </row>
    <row r="89" spans="11:16" ht="13" x14ac:dyDescent="0.15">
      <c r="K89" s="56"/>
      <c r="L89" s="57"/>
      <c r="M89" s="57"/>
      <c r="N89" s="57"/>
      <c r="O89" s="57"/>
      <c r="P89" s="57"/>
    </row>
    <row r="90" spans="11:16" ht="13" x14ac:dyDescent="0.15">
      <c r="K90" s="56"/>
      <c r="L90" s="57"/>
      <c r="M90" s="57"/>
      <c r="N90" s="57"/>
      <c r="O90" s="57"/>
      <c r="P90" s="57"/>
    </row>
    <row r="91" spans="11:16" ht="13" x14ac:dyDescent="0.15">
      <c r="K91" s="56"/>
      <c r="L91" s="57"/>
      <c r="M91" s="57"/>
      <c r="N91" s="57"/>
      <c r="O91" s="57"/>
      <c r="P91" s="57"/>
    </row>
    <row r="92" spans="11:16" ht="13" x14ac:dyDescent="0.15">
      <c r="K92" s="56"/>
      <c r="L92" s="57"/>
      <c r="M92" s="57"/>
      <c r="N92" s="57"/>
      <c r="O92" s="57"/>
      <c r="P92" s="57"/>
    </row>
    <row r="93" spans="11:16" ht="13" x14ac:dyDescent="0.15">
      <c r="K93" s="56"/>
      <c r="L93" s="57"/>
      <c r="M93" s="57"/>
      <c r="N93" s="57"/>
      <c r="O93" s="57"/>
      <c r="P93" s="57"/>
    </row>
    <row r="94" spans="11:16" ht="13" x14ac:dyDescent="0.15">
      <c r="K94" s="56"/>
      <c r="L94" s="57"/>
      <c r="M94" s="57"/>
      <c r="N94" s="57"/>
      <c r="O94" s="57"/>
      <c r="P94" s="57"/>
    </row>
    <row r="95" spans="11:16" ht="13" x14ac:dyDescent="0.15">
      <c r="K95" s="56"/>
      <c r="L95" s="57"/>
      <c r="M95" s="57"/>
      <c r="N95" s="57"/>
      <c r="O95" s="57"/>
      <c r="P95" s="57"/>
    </row>
    <row r="96" spans="11:16" ht="13" x14ac:dyDescent="0.15">
      <c r="K96" s="56"/>
      <c r="L96" s="57"/>
      <c r="M96" s="57"/>
      <c r="N96" s="57"/>
      <c r="O96" s="57"/>
      <c r="P96" s="57"/>
    </row>
    <row r="97" spans="11:16" ht="13" x14ac:dyDescent="0.15">
      <c r="K97" s="56"/>
      <c r="L97" s="57"/>
      <c r="M97" s="57"/>
      <c r="N97" s="57"/>
      <c r="O97" s="57"/>
      <c r="P97" s="57"/>
    </row>
    <row r="98" spans="11:16" ht="13" x14ac:dyDescent="0.15">
      <c r="K98" s="56"/>
      <c r="L98" s="57"/>
      <c r="M98" s="57"/>
      <c r="N98" s="57"/>
      <c r="O98" s="57"/>
      <c r="P98" s="57"/>
    </row>
    <row r="99" spans="11:16" ht="13" x14ac:dyDescent="0.15">
      <c r="K99" s="56"/>
      <c r="L99" s="57"/>
      <c r="M99" s="57"/>
      <c r="N99" s="57"/>
      <c r="O99" s="57"/>
      <c r="P99" s="57"/>
    </row>
    <row r="100" spans="11:16" ht="13" x14ac:dyDescent="0.15">
      <c r="K100" s="56"/>
      <c r="L100" s="57"/>
      <c r="M100" s="57"/>
      <c r="N100" s="57"/>
      <c r="O100" s="57"/>
      <c r="P100" s="57"/>
    </row>
    <row r="101" spans="11:16" ht="13" x14ac:dyDescent="0.15">
      <c r="K101" s="56"/>
      <c r="L101" s="57"/>
      <c r="M101" s="57"/>
      <c r="N101" s="57"/>
      <c r="O101" s="57"/>
      <c r="P101" s="57"/>
    </row>
    <row r="102" spans="11:16" ht="13" x14ac:dyDescent="0.15">
      <c r="K102" s="56"/>
      <c r="L102" s="57"/>
      <c r="M102" s="57"/>
      <c r="N102" s="57"/>
      <c r="O102" s="57"/>
      <c r="P102" s="57"/>
    </row>
    <row r="103" spans="11:16" ht="13" x14ac:dyDescent="0.15">
      <c r="K103" s="56"/>
      <c r="L103" s="57"/>
      <c r="M103" s="57"/>
      <c r="N103" s="57"/>
      <c r="O103" s="57"/>
      <c r="P103" s="57"/>
    </row>
    <row r="104" spans="11:16" ht="13" x14ac:dyDescent="0.15">
      <c r="K104" s="56"/>
      <c r="L104" s="57"/>
      <c r="M104" s="57"/>
      <c r="N104" s="57"/>
      <c r="O104" s="57"/>
      <c r="P104" s="57"/>
    </row>
    <row r="105" spans="11:16" ht="13" x14ac:dyDescent="0.15">
      <c r="K105" s="56"/>
      <c r="L105" s="57"/>
      <c r="M105" s="57"/>
      <c r="N105" s="57"/>
      <c r="O105" s="57"/>
      <c r="P105" s="57"/>
    </row>
    <row r="106" spans="11:16" ht="13" x14ac:dyDescent="0.15">
      <c r="K106" s="56"/>
      <c r="L106" s="57"/>
      <c r="M106" s="57"/>
      <c r="N106" s="57"/>
      <c r="O106" s="57"/>
      <c r="P106" s="57"/>
    </row>
    <row r="107" spans="11:16" ht="13" x14ac:dyDescent="0.15">
      <c r="K107" s="56"/>
      <c r="L107" s="57"/>
      <c r="M107" s="57"/>
      <c r="N107" s="57"/>
      <c r="O107" s="57"/>
      <c r="P107" s="57"/>
    </row>
    <row r="108" spans="11:16" ht="13" x14ac:dyDescent="0.15">
      <c r="K108" s="56"/>
      <c r="L108" s="57"/>
      <c r="M108" s="57"/>
      <c r="N108" s="57"/>
      <c r="O108" s="57"/>
      <c r="P108" s="57"/>
    </row>
    <row r="109" spans="11:16" ht="13" x14ac:dyDescent="0.15">
      <c r="K109" s="56"/>
      <c r="L109" s="57"/>
      <c r="M109" s="57"/>
      <c r="N109" s="57"/>
      <c r="O109" s="57"/>
      <c r="P109" s="57"/>
    </row>
    <row r="110" spans="11:16" ht="13" x14ac:dyDescent="0.15">
      <c r="K110" s="56"/>
      <c r="L110" s="57"/>
      <c r="M110" s="57"/>
      <c r="N110" s="57"/>
      <c r="O110" s="57"/>
      <c r="P110" s="57"/>
    </row>
    <row r="111" spans="11:16" ht="13" x14ac:dyDescent="0.15">
      <c r="K111" s="56"/>
      <c r="L111" s="57"/>
      <c r="M111" s="57"/>
      <c r="N111" s="57"/>
      <c r="O111" s="57"/>
      <c r="P111" s="57"/>
    </row>
    <row r="112" spans="11:16" ht="13" x14ac:dyDescent="0.15">
      <c r="K112" s="56"/>
      <c r="L112" s="57"/>
      <c r="M112" s="57"/>
      <c r="N112" s="57"/>
      <c r="O112" s="57"/>
      <c r="P112" s="57"/>
    </row>
    <row r="113" spans="11:16" ht="13" x14ac:dyDescent="0.15">
      <c r="K113" s="56"/>
      <c r="L113" s="57"/>
      <c r="M113" s="57"/>
      <c r="N113" s="57"/>
      <c r="O113" s="57"/>
      <c r="P113" s="57"/>
    </row>
    <row r="114" spans="11:16" ht="13" x14ac:dyDescent="0.15">
      <c r="K114" s="56"/>
      <c r="L114" s="57"/>
      <c r="M114" s="57"/>
      <c r="N114" s="57"/>
      <c r="O114" s="57"/>
      <c r="P114" s="57"/>
    </row>
    <row r="115" spans="11:16" ht="13" x14ac:dyDescent="0.15">
      <c r="K115" s="56"/>
      <c r="L115" s="57"/>
      <c r="M115" s="57"/>
      <c r="N115" s="57"/>
      <c r="O115" s="57"/>
      <c r="P115" s="57"/>
    </row>
    <row r="116" spans="11:16" ht="13" x14ac:dyDescent="0.15">
      <c r="K116" s="56"/>
      <c r="L116" s="57"/>
      <c r="M116" s="57"/>
      <c r="N116" s="57"/>
      <c r="O116" s="57"/>
      <c r="P116" s="57"/>
    </row>
    <row r="117" spans="11:16" ht="13" x14ac:dyDescent="0.15">
      <c r="K117" s="56"/>
      <c r="L117" s="57"/>
      <c r="M117" s="57"/>
      <c r="N117" s="57"/>
      <c r="O117" s="57"/>
      <c r="P117" s="57"/>
    </row>
    <row r="118" spans="11:16" ht="13" x14ac:dyDescent="0.15">
      <c r="K118" s="56"/>
      <c r="L118" s="57"/>
      <c r="M118" s="57"/>
      <c r="N118" s="57"/>
      <c r="O118" s="57"/>
      <c r="P118" s="57"/>
    </row>
    <row r="119" spans="11:16" ht="13" x14ac:dyDescent="0.15">
      <c r="K119" s="56"/>
      <c r="L119" s="57"/>
      <c r="M119" s="57"/>
      <c r="N119" s="57"/>
      <c r="O119" s="57"/>
      <c r="P119" s="57"/>
    </row>
    <row r="120" spans="11:16" ht="13" x14ac:dyDescent="0.15">
      <c r="K120" s="56"/>
      <c r="L120" s="57"/>
      <c r="M120" s="57"/>
      <c r="N120" s="57"/>
      <c r="O120" s="57"/>
      <c r="P120" s="57"/>
    </row>
    <row r="121" spans="11:16" ht="13" x14ac:dyDescent="0.15">
      <c r="K121" s="56"/>
      <c r="L121" s="57"/>
      <c r="M121" s="57"/>
      <c r="N121" s="57"/>
      <c r="O121" s="57"/>
      <c r="P121" s="57"/>
    </row>
    <row r="122" spans="11:16" ht="13" x14ac:dyDescent="0.15">
      <c r="K122" s="56"/>
      <c r="L122" s="57"/>
      <c r="M122" s="57"/>
      <c r="N122" s="57"/>
      <c r="O122" s="57"/>
      <c r="P122" s="57"/>
    </row>
    <row r="123" spans="11:16" ht="13" x14ac:dyDescent="0.15">
      <c r="K123" s="56"/>
      <c r="L123" s="57"/>
      <c r="M123" s="57"/>
      <c r="N123" s="57"/>
      <c r="O123" s="57"/>
      <c r="P123" s="57"/>
    </row>
    <row r="124" spans="11:16" ht="13" x14ac:dyDescent="0.15">
      <c r="K124" s="56"/>
      <c r="L124" s="57"/>
      <c r="M124" s="57"/>
      <c r="N124" s="57"/>
      <c r="O124" s="57"/>
      <c r="P124" s="57"/>
    </row>
    <row r="125" spans="11:16" ht="13" x14ac:dyDescent="0.15">
      <c r="K125" s="56"/>
      <c r="L125" s="57"/>
      <c r="M125" s="57"/>
      <c r="N125" s="57"/>
      <c r="O125" s="57"/>
      <c r="P125" s="57"/>
    </row>
    <row r="126" spans="11:16" ht="13" x14ac:dyDescent="0.15">
      <c r="K126" s="56"/>
      <c r="L126" s="57"/>
      <c r="M126" s="57"/>
      <c r="N126" s="57"/>
      <c r="O126" s="57"/>
      <c r="P126" s="57"/>
    </row>
    <row r="127" spans="11:16" ht="13" x14ac:dyDescent="0.15">
      <c r="K127" s="56"/>
      <c r="L127" s="57"/>
      <c r="M127" s="57"/>
      <c r="N127" s="57"/>
      <c r="O127" s="57"/>
      <c r="P127" s="57"/>
    </row>
    <row r="128" spans="11:16" ht="13" x14ac:dyDescent="0.15">
      <c r="K128" s="56"/>
      <c r="L128" s="57"/>
      <c r="M128" s="57"/>
      <c r="N128" s="57"/>
      <c r="O128" s="57"/>
      <c r="P128" s="57"/>
    </row>
    <row r="129" spans="11:16" ht="13" x14ac:dyDescent="0.15">
      <c r="K129" s="56"/>
      <c r="L129" s="57"/>
      <c r="M129" s="57"/>
      <c r="N129" s="57"/>
      <c r="O129" s="57"/>
      <c r="P129" s="57"/>
    </row>
    <row r="130" spans="11:16" ht="13" x14ac:dyDescent="0.15">
      <c r="K130" s="56"/>
      <c r="L130" s="57"/>
      <c r="M130" s="57"/>
      <c r="N130" s="57"/>
      <c r="O130" s="57"/>
      <c r="P130" s="57"/>
    </row>
    <row r="131" spans="11:16" ht="13" x14ac:dyDescent="0.15">
      <c r="K131" s="56"/>
      <c r="L131" s="57"/>
      <c r="M131" s="57"/>
      <c r="N131" s="57"/>
      <c r="O131" s="57"/>
      <c r="P131" s="57"/>
    </row>
    <row r="132" spans="11:16" ht="13" x14ac:dyDescent="0.15">
      <c r="K132" s="56"/>
      <c r="L132" s="57"/>
      <c r="M132" s="57"/>
      <c r="N132" s="57"/>
      <c r="O132" s="57"/>
      <c r="P132" s="57"/>
    </row>
    <row r="133" spans="11:16" ht="13" x14ac:dyDescent="0.15">
      <c r="K133" s="56"/>
      <c r="L133" s="57"/>
      <c r="M133" s="57"/>
      <c r="N133" s="57"/>
      <c r="O133" s="57"/>
      <c r="P133" s="57"/>
    </row>
    <row r="134" spans="11:16" ht="13" x14ac:dyDescent="0.15">
      <c r="K134" s="56"/>
      <c r="L134" s="57"/>
      <c r="M134" s="57"/>
      <c r="N134" s="57"/>
      <c r="O134" s="57"/>
      <c r="P134" s="57"/>
    </row>
    <row r="135" spans="11:16" ht="13" x14ac:dyDescent="0.15">
      <c r="K135" s="56"/>
      <c r="L135" s="57"/>
      <c r="M135" s="57"/>
      <c r="N135" s="57"/>
      <c r="O135" s="57"/>
      <c r="P135" s="57"/>
    </row>
    <row r="136" spans="11:16" ht="13" x14ac:dyDescent="0.15">
      <c r="K136" s="56"/>
      <c r="L136" s="57"/>
      <c r="M136" s="57"/>
      <c r="N136" s="57"/>
      <c r="O136" s="57"/>
      <c r="P136" s="57"/>
    </row>
    <row r="137" spans="11:16" ht="13" x14ac:dyDescent="0.15">
      <c r="K137" s="56"/>
      <c r="L137" s="57"/>
      <c r="M137" s="57"/>
      <c r="N137" s="57"/>
      <c r="O137" s="57"/>
      <c r="P137" s="57"/>
    </row>
    <row r="138" spans="11:16" ht="13" x14ac:dyDescent="0.15">
      <c r="K138" s="56"/>
      <c r="L138" s="57"/>
      <c r="M138" s="57"/>
      <c r="N138" s="57"/>
      <c r="O138" s="57"/>
      <c r="P138" s="57"/>
    </row>
    <row r="139" spans="11:16" ht="13" x14ac:dyDescent="0.15">
      <c r="K139" s="56"/>
      <c r="L139" s="57"/>
      <c r="M139" s="57"/>
      <c r="N139" s="57"/>
      <c r="O139" s="57"/>
      <c r="P139" s="57"/>
    </row>
    <row r="140" spans="11:16" ht="13" x14ac:dyDescent="0.15">
      <c r="K140" s="56"/>
      <c r="L140" s="57"/>
      <c r="M140" s="57"/>
      <c r="N140" s="57"/>
      <c r="O140" s="57"/>
      <c r="P140" s="57"/>
    </row>
    <row r="141" spans="11:16" ht="13" x14ac:dyDescent="0.15">
      <c r="K141" s="56"/>
      <c r="L141" s="57"/>
      <c r="M141" s="57"/>
      <c r="N141" s="57"/>
      <c r="O141" s="57"/>
      <c r="P141" s="57"/>
    </row>
    <row r="142" spans="11:16" ht="13" x14ac:dyDescent="0.15">
      <c r="K142" s="56"/>
      <c r="L142" s="57"/>
      <c r="M142" s="57"/>
      <c r="N142" s="57"/>
      <c r="O142" s="57"/>
      <c r="P142" s="57"/>
    </row>
    <row r="143" spans="11:16" ht="13" x14ac:dyDescent="0.15">
      <c r="K143" s="56"/>
      <c r="L143" s="57"/>
      <c r="M143" s="57"/>
      <c r="N143" s="57"/>
      <c r="O143" s="57"/>
      <c r="P143" s="57"/>
    </row>
    <row r="144" spans="11:16" ht="13" x14ac:dyDescent="0.15">
      <c r="K144" s="56"/>
      <c r="L144" s="57"/>
      <c r="M144" s="57"/>
      <c r="N144" s="57"/>
      <c r="O144" s="57"/>
      <c r="P144" s="57"/>
    </row>
    <row r="145" spans="11:16" ht="13" x14ac:dyDescent="0.15">
      <c r="K145" s="56"/>
      <c r="L145" s="57"/>
      <c r="M145" s="57"/>
      <c r="N145" s="57"/>
      <c r="O145" s="57"/>
      <c r="P145" s="57"/>
    </row>
    <row r="146" spans="11:16" ht="13" x14ac:dyDescent="0.15">
      <c r="K146" s="56"/>
      <c r="L146" s="57"/>
      <c r="M146" s="57"/>
      <c r="N146" s="57"/>
      <c r="O146" s="57"/>
      <c r="P146" s="57"/>
    </row>
    <row r="147" spans="11:16" ht="13" x14ac:dyDescent="0.15">
      <c r="K147" s="56"/>
      <c r="L147" s="57"/>
      <c r="M147" s="57"/>
      <c r="N147" s="57"/>
      <c r="O147" s="57"/>
      <c r="P147" s="57"/>
    </row>
    <row r="148" spans="11:16" ht="13" x14ac:dyDescent="0.15">
      <c r="K148" s="56"/>
      <c r="L148" s="57"/>
      <c r="M148" s="57"/>
      <c r="N148" s="57"/>
      <c r="O148" s="57"/>
      <c r="P148" s="57"/>
    </row>
    <row r="149" spans="11:16" ht="13" x14ac:dyDescent="0.15">
      <c r="K149" s="56"/>
      <c r="L149" s="57"/>
      <c r="M149" s="57"/>
      <c r="N149" s="57"/>
      <c r="O149" s="57"/>
      <c r="P149" s="57"/>
    </row>
    <row r="150" spans="11:16" ht="13" x14ac:dyDescent="0.15">
      <c r="K150" s="56"/>
      <c r="L150" s="57"/>
      <c r="M150" s="57"/>
      <c r="N150" s="57"/>
      <c r="O150" s="57"/>
      <c r="P150" s="57"/>
    </row>
    <row r="151" spans="11:16" ht="13" x14ac:dyDescent="0.15">
      <c r="K151" s="56"/>
      <c r="L151" s="57"/>
      <c r="M151" s="57"/>
      <c r="N151" s="57"/>
      <c r="O151" s="57"/>
      <c r="P151" s="57"/>
    </row>
    <row r="152" spans="11:16" ht="13" x14ac:dyDescent="0.15">
      <c r="K152" s="56"/>
      <c r="L152" s="57"/>
      <c r="M152" s="57"/>
      <c r="N152" s="57"/>
      <c r="O152" s="57"/>
      <c r="P152" s="57"/>
    </row>
    <row r="153" spans="11:16" ht="13" x14ac:dyDescent="0.15">
      <c r="K153" s="56"/>
      <c r="L153" s="57"/>
      <c r="M153" s="57"/>
      <c r="N153" s="57"/>
      <c r="O153" s="57"/>
      <c r="P153" s="57"/>
    </row>
    <row r="154" spans="11:16" ht="13" x14ac:dyDescent="0.15">
      <c r="K154" s="56"/>
      <c r="L154" s="57"/>
      <c r="M154" s="57"/>
      <c r="N154" s="57"/>
      <c r="O154" s="57"/>
      <c r="P154" s="57"/>
    </row>
    <row r="155" spans="11:16" ht="13" x14ac:dyDescent="0.15">
      <c r="K155" s="56"/>
      <c r="L155" s="57"/>
      <c r="M155" s="57"/>
      <c r="N155" s="57"/>
      <c r="O155" s="57"/>
      <c r="P155" s="57"/>
    </row>
    <row r="156" spans="11:16" ht="13" x14ac:dyDescent="0.15">
      <c r="K156" s="56"/>
      <c r="L156" s="57"/>
      <c r="M156" s="57"/>
      <c r="N156" s="57"/>
      <c r="O156" s="57"/>
      <c r="P156" s="57"/>
    </row>
    <row r="157" spans="11:16" ht="13" x14ac:dyDescent="0.15">
      <c r="K157" s="56"/>
      <c r="L157" s="57"/>
      <c r="M157" s="57"/>
      <c r="N157" s="57"/>
      <c r="O157" s="57"/>
      <c r="P157" s="57"/>
    </row>
    <row r="158" spans="11:16" ht="13" x14ac:dyDescent="0.15">
      <c r="K158" s="56"/>
      <c r="L158" s="57"/>
      <c r="M158" s="57"/>
      <c r="N158" s="57"/>
      <c r="O158" s="57"/>
      <c r="P158" s="57"/>
    </row>
    <row r="159" spans="11:16" ht="13" x14ac:dyDescent="0.15">
      <c r="K159" s="56"/>
      <c r="L159" s="57"/>
      <c r="M159" s="57"/>
      <c r="N159" s="57"/>
      <c r="O159" s="57"/>
      <c r="P159" s="57"/>
    </row>
    <row r="160" spans="11:16" ht="13" x14ac:dyDescent="0.15">
      <c r="K160" s="56"/>
      <c r="L160" s="57"/>
      <c r="M160" s="57"/>
      <c r="N160" s="57"/>
      <c r="O160" s="57"/>
      <c r="P160" s="57"/>
    </row>
    <row r="161" spans="11:16" ht="13" x14ac:dyDescent="0.15">
      <c r="K161" s="56"/>
      <c r="L161" s="57"/>
      <c r="M161" s="57"/>
      <c r="N161" s="57"/>
      <c r="O161" s="57"/>
      <c r="P161" s="57"/>
    </row>
    <row r="162" spans="11:16" ht="13" x14ac:dyDescent="0.15">
      <c r="K162" s="56"/>
      <c r="L162" s="57"/>
      <c r="M162" s="57"/>
      <c r="N162" s="57"/>
      <c r="O162" s="57"/>
      <c r="P162" s="57"/>
    </row>
    <row r="163" spans="11:16" ht="13" x14ac:dyDescent="0.15">
      <c r="K163" s="56"/>
      <c r="L163" s="57"/>
      <c r="M163" s="57"/>
      <c r="N163" s="57"/>
      <c r="O163" s="57"/>
      <c r="P163" s="57"/>
    </row>
    <row r="164" spans="11:16" ht="13" x14ac:dyDescent="0.15">
      <c r="K164" s="56"/>
      <c r="L164" s="57"/>
      <c r="M164" s="57"/>
      <c r="N164" s="57"/>
      <c r="O164" s="57"/>
      <c r="P164" s="57"/>
    </row>
    <row r="165" spans="11:16" ht="13" x14ac:dyDescent="0.15">
      <c r="K165" s="56"/>
      <c r="L165" s="57"/>
      <c r="M165" s="57"/>
      <c r="N165" s="57"/>
      <c r="O165" s="57"/>
      <c r="P165" s="57"/>
    </row>
    <row r="166" spans="11:16" ht="13" x14ac:dyDescent="0.15">
      <c r="K166" s="56"/>
      <c r="L166" s="57"/>
      <c r="M166" s="57"/>
      <c r="N166" s="57"/>
      <c r="O166" s="57"/>
      <c r="P166" s="57"/>
    </row>
    <row r="167" spans="11:16" ht="13" x14ac:dyDescent="0.15">
      <c r="K167" s="56"/>
      <c r="L167" s="57"/>
      <c r="M167" s="57"/>
      <c r="N167" s="57"/>
      <c r="O167" s="57"/>
      <c r="P167" s="57"/>
    </row>
    <row r="168" spans="11:16" ht="13" x14ac:dyDescent="0.15">
      <c r="K168" s="56"/>
      <c r="L168" s="57"/>
      <c r="M168" s="57"/>
      <c r="N168" s="57"/>
      <c r="O168" s="57"/>
      <c r="P168" s="57"/>
    </row>
    <row r="169" spans="11:16" ht="13" x14ac:dyDescent="0.15">
      <c r="K169" s="56"/>
      <c r="L169" s="57"/>
      <c r="M169" s="57"/>
      <c r="N169" s="57"/>
      <c r="O169" s="57"/>
      <c r="P169" s="57"/>
    </row>
    <row r="170" spans="11:16" ht="13" x14ac:dyDescent="0.15">
      <c r="K170" s="56"/>
      <c r="L170" s="57"/>
      <c r="M170" s="57"/>
      <c r="N170" s="57"/>
      <c r="O170" s="57"/>
      <c r="P170" s="57"/>
    </row>
    <row r="171" spans="11:16" ht="13" x14ac:dyDescent="0.15">
      <c r="K171" s="56"/>
      <c r="L171" s="57"/>
      <c r="M171" s="57"/>
      <c r="N171" s="57"/>
      <c r="O171" s="57"/>
      <c r="P171" s="57"/>
    </row>
    <row r="172" spans="11:16" ht="13" x14ac:dyDescent="0.15">
      <c r="K172" s="56"/>
      <c r="L172" s="57"/>
      <c r="M172" s="57"/>
      <c r="N172" s="57"/>
      <c r="O172" s="57"/>
      <c r="P172" s="57"/>
    </row>
    <row r="173" spans="11:16" ht="13" x14ac:dyDescent="0.15">
      <c r="K173" s="56"/>
      <c r="L173" s="57"/>
      <c r="M173" s="57"/>
      <c r="N173" s="57"/>
      <c r="O173" s="57"/>
      <c r="P173" s="57"/>
    </row>
    <row r="174" spans="11:16" ht="13" x14ac:dyDescent="0.15">
      <c r="K174" s="56"/>
      <c r="L174" s="57"/>
      <c r="M174" s="57"/>
      <c r="N174" s="57"/>
      <c r="O174" s="57"/>
      <c r="P174" s="57"/>
    </row>
    <row r="175" spans="11:16" ht="13" x14ac:dyDescent="0.15">
      <c r="K175" s="56"/>
      <c r="L175" s="57"/>
      <c r="M175" s="57"/>
      <c r="N175" s="57"/>
      <c r="O175" s="57"/>
      <c r="P175" s="57"/>
    </row>
    <row r="176" spans="11:16" ht="13" x14ac:dyDescent="0.15">
      <c r="K176" s="56"/>
      <c r="L176" s="57"/>
      <c r="M176" s="57"/>
      <c r="N176" s="57"/>
      <c r="O176" s="57"/>
      <c r="P176" s="57"/>
    </row>
    <row r="177" spans="11:16" ht="13" x14ac:dyDescent="0.15">
      <c r="K177" s="56"/>
      <c r="L177" s="57"/>
      <c r="M177" s="57"/>
      <c r="N177" s="57"/>
      <c r="O177" s="57"/>
      <c r="P177" s="57"/>
    </row>
    <row r="178" spans="11:16" ht="13" x14ac:dyDescent="0.15">
      <c r="K178" s="56"/>
      <c r="L178" s="57"/>
      <c r="M178" s="57"/>
      <c r="N178" s="57"/>
      <c r="O178" s="57"/>
      <c r="P178" s="57"/>
    </row>
    <row r="179" spans="11:16" ht="13" x14ac:dyDescent="0.15">
      <c r="K179" s="56"/>
      <c r="L179" s="57"/>
      <c r="M179" s="57"/>
      <c r="N179" s="57"/>
      <c r="O179" s="57"/>
      <c r="P179" s="57"/>
    </row>
    <row r="180" spans="11:16" ht="13" x14ac:dyDescent="0.15">
      <c r="K180" s="56"/>
      <c r="L180" s="57"/>
      <c r="M180" s="57"/>
      <c r="N180" s="57"/>
      <c r="O180" s="57"/>
      <c r="P180" s="57"/>
    </row>
    <row r="181" spans="11:16" ht="13" x14ac:dyDescent="0.15">
      <c r="K181" s="56"/>
      <c r="L181" s="57"/>
      <c r="M181" s="57"/>
      <c r="N181" s="57"/>
      <c r="O181" s="57"/>
      <c r="P181" s="57"/>
    </row>
    <row r="182" spans="11:16" ht="13" x14ac:dyDescent="0.15">
      <c r="K182" s="56"/>
      <c r="L182" s="57"/>
      <c r="M182" s="57"/>
      <c r="N182" s="57"/>
      <c r="O182" s="57"/>
      <c r="P182" s="57"/>
    </row>
    <row r="183" spans="11:16" ht="13" x14ac:dyDescent="0.15">
      <c r="K183" s="56"/>
      <c r="L183" s="57"/>
      <c r="M183" s="57"/>
      <c r="N183" s="57"/>
      <c r="O183" s="57"/>
      <c r="P183" s="57"/>
    </row>
    <row r="184" spans="11:16" ht="13" x14ac:dyDescent="0.15">
      <c r="K184" s="56"/>
      <c r="L184" s="57"/>
      <c r="M184" s="57"/>
      <c r="N184" s="57"/>
      <c r="O184" s="57"/>
      <c r="P184" s="57"/>
    </row>
    <row r="185" spans="11:16" ht="13" x14ac:dyDescent="0.15">
      <c r="K185" s="56"/>
      <c r="L185" s="57"/>
      <c r="M185" s="57"/>
      <c r="N185" s="57"/>
      <c r="O185" s="57"/>
      <c r="P185" s="57"/>
    </row>
    <row r="186" spans="11:16" ht="13" x14ac:dyDescent="0.15">
      <c r="K186" s="56"/>
      <c r="L186" s="57"/>
      <c r="M186" s="57"/>
      <c r="N186" s="57"/>
      <c r="O186" s="57"/>
      <c r="P186" s="57"/>
    </row>
    <row r="187" spans="11:16" ht="13" x14ac:dyDescent="0.15">
      <c r="K187" s="56"/>
      <c r="L187" s="57"/>
      <c r="M187" s="57"/>
      <c r="N187" s="57"/>
      <c r="O187" s="57"/>
      <c r="P187" s="57"/>
    </row>
    <row r="188" spans="11:16" ht="13" x14ac:dyDescent="0.15">
      <c r="K188" s="56"/>
      <c r="L188" s="57"/>
      <c r="M188" s="57"/>
      <c r="N188" s="57"/>
      <c r="O188" s="57"/>
      <c r="P188" s="57"/>
    </row>
    <row r="189" spans="11:16" ht="13" x14ac:dyDescent="0.15">
      <c r="K189" s="56"/>
      <c r="L189" s="57"/>
      <c r="M189" s="57"/>
      <c r="N189" s="57"/>
      <c r="O189" s="57"/>
      <c r="P189" s="57"/>
    </row>
    <row r="190" spans="11:16" ht="13" x14ac:dyDescent="0.15">
      <c r="K190" s="56"/>
      <c r="L190" s="57"/>
      <c r="M190" s="57"/>
      <c r="N190" s="57"/>
      <c r="O190" s="57"/>
      <c r="P190" s="57"/>
    </row>
    <row r="191" spans="11:16" ht="13" x14ac:dyDescent="0.15">
      <c r="K191" s="56"/>
      <c r="L191" s="57"/>
      <c r="M191" s="57"/>
      <c r="N191" s="57"/>
      <c r="O191" s="57"/>
      <c r="P191" s="57"/>
    </row>
    <row r="192" spans="11:16" ht="13" x14ac:dyDescent="0.15">
      <c r="K192" s="56"/>
      <c r="L192" s="57"/>
      <c r="M192" s="57"/>
      <c r="N192" s="57"/>
      <c r="O192" s="57"/>
      <c r="P192" s="57"/>
    </row>
    <row r="193" spans="11:16" ht="13" x14ac:dyDescent="0.15">
      <c r="K193" s="56"/>
      <c r="L193" s="57"/>
      <c r="M193" s="57"/>
      <c r="N193" s="57"/>
      <c r="O193" s="57"/>
      <c r="P193" s="57"/>
    </row>
    <row r="194" spans="11:16" ht="13" x14ac:dyDescent="0.15">
      <c r="K194" s="56"/>
      <c r="L194" s="57"/>
      <c r="M194" s="57"/>
      <c r="N194" s="57"/>
      <c r="O194" s="57"/>
      <c r="P194" s="57"/>
    </row>
    <row r="195" spans="11:16" ht="13" x14ac:dyDescent="0.15">
      <c r="K195" s="56"/>
      <c r="L195" s="57"/>
      <c r="M195" s="57"/>
      <c r="N195" s="57"/>
      <c r="O195" s="57"/>
      <c r="P195" s="57"/>
    </row>
    <row r="196" spans="11:16" ht="13" x14ac:dyDescent="0.15">
      <c r="K196" s="56"/>
      <c r="L196" s="57"/>
      <c r="M196" s="57"/>
      <c r="N196" s="57"/>
      <c r="O196" s="57"/>
      <c r="P196" s="57"/>
    </row>
    <row r="197" spans="11:16" ht="13" x14ac:dyDescent="0.15">
      <c r="K197" s="56"/>
      <c r="L197" s="57"/>
      <c r="M197" s="57"/>
      <c r="N197" s="57"/>
      <c r="O197" s="57"/>
      <c r="P197" s="57"/>
    </row>
    <row r="198" spans="11:16" ht="13" x14ac:dyDescent="0.15">
      <c r="K198" s="56"/>
      <c r="L198" s="57"/>
      <c r="M198" s="57"/>
      <c r="N198" s="57"/>
      <c r="O198" s="57"/>
      <c r="P198" s="57"/>
    </row>
    <row r="199" spans="11:16" ht="13" x14ac:dyDescent="0.15">
      <c r="K199" s="56"/>
      <c r="L199" s="57"/>
      <c r="M199" s="57"/>
      <c r="N199" s="57"/>
      <c r="O199" s="57"/>
      <c r="P199" s="57"/>
    </row>
    <row r="200" spans="11:16" ht="13" x14ac:dyDescent="0.15">
      <c r="K200" s="56"/>
      <c r="L200" s="57"/>
      <c r="M200" s="57"/>
      <c r="N200" s="57"/>
      <c r="O200" s="57"/>
      <c r="P200" s="57"/>
    </row>
    <row r="201" spans="11:16" ht="13" x14ac:dyDescent="0.15">
      <c r="K201" s="56"/>
      <c r="L201" s="57"/>
      <c r="M201" s="57"/>
      <c r="N201" s="57"/>
      <c r="O201" s="57"/>
      <c r="P201" s="57"/>
    </row>
    <row r="202" spans="11:16" ht="13" x14ac:dyDescent="0.15">
      <c r="K202" s="56"/>
      <c r="L202" s="57"/>
      <c r="M202" s="57"/>
      <c r="N202" s="57"/>
      <c r="O202" s="57"/>
      <c r="P202" s="57"/>
    </row>
    <row r="203" spans="11:16" ht="13" x14ac:dyDescent="0.15">
      <c r="K203" s="56"/>
      <c r="L203" s="57"/>
      <c r="M203" s="57"/>
      <c r="N203" s="57"/>
      <c r="O203" s="57"/>
      <c r="P203" s="57"/>
    </row>
    <row r="204" spans="11:16" ht="13" x14ac:dyDescent="0.15">
      <c r="K204" s="56"/>
      <c r="L204" s="57"/>
      <c r="M204" s="57"/>
      <c r="N204" s="57"/>
      <c r="O204" s="57"/>
      <c r="P204" s="57"/>
    </row>
    <row r="205" spans="11:16" ht="13" x14ac:dyDescent="0.15">
      <c r="K205" s="56"/>
      <c r="L205" s="57"/>
      <c r="M205" s="57"/>
      <c r="N205" s="57"/>
      <c r="O205" s="57"/>
      <c r="P205" s="57"/>
    </row>
    <row r="206" spans="11:16" ht="13" x14ac:dyDescent="0.15">
      <c r="K206" s="56"/>
      <c r="L206" s="57"/>
      <c r="M206" s="57"/>
      <c r="N206" s="57"/>
      <c r="O206" s="57"/>
      <c r="P206" s="57"/>
    </row>
    <row r="207" spans="11:16" ht="13" x14ac:dyDescent="0.15">
      <c r="K207" s="56"/>
      <c r="L207" s="57"/>
      <c r="M207" s="57"/>
      <c r="N207" s="57"/>
      <c r="O207" s="57"/>
      <c r="P207" s="57"/>
    </row>
    <row r="208" spans="11:16" ht="13" x14ac:dyDescent="0.15">
      <c r="K208" s="56"/>
      <c r="L208" s="57"/>
      <c r="M208" s="57"/>
      <c r="N208" s="57"/>
      <c r="O208" s="57"/>
      <c r="P208" s="57"/>
    </row>
    <row r="209" spans="11:16" ht="13" x14ac:dyDescent="0.15">
      <c r="K209" s="56"/>
      <c r="L209" s="57"/>
      <c r="M209" s="57"/>
      <c r="N209" s="57"/>
      <c r="O209" s="57"/>
      <c r="P209" s="57"/>
    </row>
    <row r="210" spans="11:16" ht="13" x14ac:dyDescent="0.15">
      <c r="K210" s="56"/>
      <c r="L210" s="57"/>
      <c r="M210" s="57"/>
      <c r="N210" s="57"/>
      <c r="O210" s="57"/>
      <c r="P210" s="57"/>
    </row>
    <row r="211" spans="11:16" ht="13" x14ac:dyDescent="0.15">
      <c r="K211" s="56"/>
      <c r="L211" s="57"/>
      <c r="M211" s="57"/>
      <c r="N211" s="57"/>
      <c r="O211" s="57"/>
      <c r="P211" s="57"/>
    </row>
    <row r="212" spans="11:16" ht="13" x14ac:dyDescent="0.15">
      <c r="K212" s="56"/>
      <c r="L212" s="57"/>
      <c r="M212" s="57"/>
      <c r="N212" s="57"/>
      <c r="O212" s="57"/>
      <c r="P212" s="57"/>
    </row>
    <row r="213" spans="11:16" ht="13" x14ac:dyDescent="0.15">
      <c r="K213" s="56"/>
      <c r="L213" s="57"/>
      <c r="M213" s="57"/>
      <c r="N213" s="57"/>
      <c r="O213" s="57"/>
      <c r="P213" s="57"/>
    </row>
    <row r="214" spans="11:16" ht="13" x14ac:dyDescent="0.15">
      <c r="K214" s="56"/>
      <c r="L214" s="57"/>
      <c r="M214" s="57"/>
      <c r="N214" s="57"/>
      <c r="O214" s="57"/>
      <c r="P214" s="57"/>
    </row>
    <row r="215" spans="11:16" ht="13" x14ac:dyDescent="0.15">
      <c r="K215" s="56"/>
      <c r="L215" s="57"/>
      <c r="M215" s="57"/>
      <c r="N215" s="57"/>
      <c r="O215" s="57"/>
      <c r="P215" s="57"/>
    </row>
    <row r="216" spans="11:16" ht="13" x14ac:dyDescent="0.15">
      <c r="K216" s="56"/>
      <c r="L216" s="57"/>
      <c r="M216" s="57"/>
      <c r="N216" s="57"/>
      <c r="O216" s="57"/>
      <c r="P216" s="57"/>
    </row>
    <row r="217" spans="11:16" ht="13" x14ac:dyDescent="0.15">
      <c r="K217" s="56"/>
      <c r="L217" s="57"/>
      <c r="M217" s="57"/>
      <c r="N217" s="57"/>
      <c r="O217" s="57"/>
      <c r="P217" s="57"/>
    </row>
    <row r="218" spans="11:16" ht="13" x14ac:dyDescent="0.15">
      <c r="K218" s="56"/>
      <c r="L218" s="57"/>
      <c r="M218" s="57"/>
      <c r="N218" s="57"/>
      <c r="O218" s="57"/>
      <c r="P218" s="57"/>
    </row>
    <row r="219" spans="11:16" ht="13" x14ac:dyDescent="0.15">
      <c r="K219" s="56"/>
      <c r="L219" s="57"/>
      <c r="M219" s="57"/>
      <c r="N219" s="57"/>
      <c r="O219" s="57"/>
      <c r="P219" s="57"/>
    </row>
    <row r="220" spans="11:16" ht="13" x14ac:dyDescent="0.15">
      <c r="K220" s="56"/>
      <c r="L220" s="57"/>
      <c r="M220" s="57"/>
      <c r="N220" s="57"/>
      <c r="O220" s="57"/>
      <c r="P220" s="57"/>
    </row>
    <row r="221" spans="11:16" ht="13" x14ac:dyDescent="0.15">
      <c r="K221" s="56"/>
      <c r="L221" s="57"/>
      <c r="M221" s="57"/>
      <c r="N221" s="57"/>
      <c r="O221" s="57"/>
      <c r="P221" s="57"/>
    </row>
    <row r="222" spans="11:16" ht="13" x14ac:dyDescent="0.15">
      <c r="K222" s="56"/>
      <c r="L222" s="57"/>
      <c r="M222" s="57"/>
      <c r="N222" s="57"/>
      <c r="O222" s="57"/>
      <c r="P222" s="57"/>
    </row>
    <row r="223" spans="11:16" ht="13" x14ac:dyDescent="0.15">
      <c r="K223" s="56"/>
      <c r="L223" s="57"/>
      <c r="M223" s="57"/>
      <c r="N223" s="57"/>
      <c r="O223" s="57"/>
      <c r="P223" s="57"/>
    </row>
    <row r="224" spans="11:16" ht="13" x14ac:dyDescent="0.15">
      <c r="K224" s="56"/>
      <c r="L224" s="57"/>
      <c r="M224" s="57"/>
      <c r="N224" s="57"/>
      <c r="O224" s="57"/>
      <c r="P224" s="57"/>
    </row>
    <row r="225" spans="11:16" ht="13" x14ac:dyDescent="0.15">
      <c r="K225" s="56"/>
      <c r="L225" s="57"/>
      <c r="M225" s="57"/>
      <c r="N225" s="57"/>
      <c r="O225" s="57"/>
      <c r="P225" s="57"/>
    </row>
    <row r="226" spans="11:16" ht="13" x14ac:dyDescent="0.15">
      <c r="K226" s="56"/>
      <c r="L226" s="57"/>
      <c r="M226" s="57"/>
      <c r="N226" s="57"/>
      <c r="O226" s="57"/>
      <c r="P226" s="57"/>
    </row>
    <row r="227" spans="11:16" ht="13" x14ac:dyDescent="0.15">
      <c r="K227" s="56"/>
      <c r="L227" s="57"/>
      <c r="M227" s="57"/>
      <c r="N227" s="57"/>
      <c r="O227" s="57"/>
      <c r="P227" s="57"/>
    </row>
    <row r="228" spans="11:16" ht="13" x14ac:dyDescent="0.15">
      <c r="K228" s="56"/>
      <c r="L228" s="57"/>
      <c r="M228" s="57"/>
      <c r="N228" s="57"/>
      <c r="O228" s="57"/>
      <c r="P228" s="57"/>
    </row>
    <row r="229" spans="11:16" ht="13" x14ac:dyDescent="0.15">
      <c r="K229" s="56"/>
      <c r="L229" s="57"/>
      <c r="M229" s="57"/>
      <c r="N229" s="57"/>
      <c r="O229" s="57"/>
      <c r="P229" s="57"/>
    </row>
    <row r="230" spans="11:16" ht="13" x14ac:dyDescent="0.15">
      <c r="K230" s="56"/>
      <c r="L230" s="57"/>
      <c r="M230" s="57"/>
      <c r="N230" s="57"/>
      <c r="O230" s="57"/>
      <c r="P230" s="57"/>
    </row>
    <row r="231" spans="11:16" ht="13" x14ac:dyDescent="0.15">
      <c r="K231" s="56"/>
      <c r="L231" s="57"/>
      <c r="M231" s="57"/>
      <c r="N231" s="57"/>
      <c r="O231" s="57"/>
      <c r="P231" s="57"/>
    </row>
    <row r="232" spans="11:16" ht="13" x14ac:dyDescent="0.15">
      <c r="K232" s="56"/>
      <c r="L232" s="57"/>
      <c r="M232" s="57"/>
      <c r="N232" s="57"/>
      <c r="O232" s="57"/>
      <c r="P232" s="57"/>
    </row>
    <row r="233" spans="11:16" ht="13" x14ac:dyDescent="0.15">
      <c r="K233" s="56"/>
      <c r="L233" s="57"/>
      <c r="M233" s="57"/>
      <c r="N233" s="57"/>
      <c r="O233" s="57"/>
      <c r="P233" s="57"/>
    </row>
    <row r="234" spans="11:16" ht="13" x14ac:dyDescent="0.15">
      <c r="K234" s="56"/>
      <c r="L234" s="57"/>
      <c r="M234" s="57"/>
      <c r="N234" s="57"/>
      <c r="O234" s="57"/>
      <c r="P234" s="57"/>
    </row>
    <row r="235" spans="11:16" ht="13" x14ac:dyDescent="0.15">
      <c r="K235" s="56"/>
      <c r="L235" s="57"/>
      <c r="M235" s="57"/>
      <c r="N235" s="57"/>
      <c r="O235" s="57"/>
      <c r="P235" s="57"/>
    </row>
    <row r="236" spans="11:16" ht="13" x14ac:dyDescent="0.15">
      <c r="K236" s="56"/>
      <c r="L236" s="57"/>
      <c r="M236" s="57"/>
      <c r="N236" s="57"/>
      <c r="O236" s="57"/>
      <c r="P236" s="57"/>
    </row>
    <row r="237" spans="11:16" ht="13" x14ac:dyDescent="0.15">
      <c r="K237" s="56"/>
      <c r="L237" s="57"/>
      <c r="M237" s="57"/>
      <c r="N237" s="57"/>
      <c r="O237" s="57"/>
      <c r="P237" s="57"/>
    </row>
    <row r="238" spans="11:16" ht="13" x14ac:dyDescent="0.15">
      <c r="K238" s="56"/>
      <c r="L238" s="57"/>
      <c r="M238" s="57"/>
      <c r="N238" s="57"/>
      <c r="O238" s="57"/>
      <c r="P238" s="57"/>
    </row>
    <row r="239" spans="11:16" ht="13" x14ac:dyDescent="0.15">
      <c r="K239" s="56"/>
      <c r="L239" s="57"/>
      <c r="M239" s="57"/>
      <c r="N239" s="57"/>
      <c r="O239" s="57"/>
      <c r="P239" s="57"/>
    </row>
    <row r="240" spans="11:16" ht="13" x14ac:dyDescent="0.15">
      <c r="K240" s="56"/>
      <c r="L240" s="57"/>
      <c r="M240" s="57"/>
      <c r="N240" s="57"/>
      <c r="O240" s="57"/>
      <c r="P240" s="57"/>
    </row>
    <row r="241" spans="11:16" ht="13" x14ac:dyDescent="0.15">
      <c r="K241" s="56"/>
      <c r="L241" s="57"/>
      <c r="M241" s="57"/>
      <c r="N241" s="57"/>
      <c r="O241" s="57"/>
      <c r="P241" s="57"/>
    </row>
    <row r="242" spans="11:16" ht="13" x14ac:dyDescent="0.15">
      <c r="K242" s="56"/>
      <c r="L242" s="57"/>
      <c r="M242" s="57"/>
      <c r="N242" s="57"/>
      <c r="O242" s="57"/>
      <c r="P242" s="57"/>
    </row>
    <row r="243" spans="11:16" ht="13" x14ac:dyDescent="0.15">
      <c r="K243" s="56"/>
      <c r="L243" s="57"/>
      <c r="M243" s="57"/>
      <c r="N243" s="57"/>
      <c r="O243" s="57"/>
      <c r="P243" s="57"/>
    </row>
    <row r="244" spans="11:16" ht="13" x14ac:dyDescent="0.15">
      <c r="K244" s="56"/>
      <c r="L244" s="57"/>
      <c r="M244" s="57"/>
      <c r="N244" s="57"/>
      <c r="O244" s="57"/>
      <c r="P244" s="57"/>
    </row>
    <row r="245" spans="11:16" ht="13" x14ac:dyDescent="0.15">
      <c r="K245" s="56"/>
      <c r="L245" s="57"/>
      <c r="M245" s="57"/>
      <c r="N245" s="57"/>
      <c r="O245" s="57"/>
      <c r="P245" s="57"/>
    </row>
    <row r="246" spans="11:16" ht="13" x14ac:dyDescent="0.15">
      <c r="K246" s="56"/>
      <c r="L246" s="57"/>
      <c r="M246" s="57"/>
      <c r="N246" s="57"/>
      <c r="O246" s="57"/>
      <c r="P246" s="57"/>
    </row>
    <row r="247" spans="11:16" ht="13" x14ac:dyDescent="0.15">
      <c r="K247" s="56"/>
      <c r="L247" s="57"/>
      <c r="M247" s="57"/>
      <c r="N247" s="57"/>
      <c r="O247" s="57"/>
      <c r="P247" s="57"/>
    </row>
    <row r="248" spans="11:16" ht="13" x14ac:dyDescent="0.15">
      <c r="K248" s="56"/>
      <c r="L248" s="57"/>
      <c r="M248" s="57"/>
      <c r="N248" s="57"/>
      <c r="O248" s="57"/>
      <c r="P248" s="57"/>
    </row>
    <row r="249" spans="11:16" ht="13" x14ac:dyDescent="0.15">
      <c r="K249" s="56"/>
      <c r="L249" s="57"/>
      <c r="M249" s="57"/>
      <c r="N249" s="57"/>
      <c r="O249" s="57"/>
      <c r="P249" s="57"/>
    </row>
    <row r="250" spans="11:16" ht="13" x14ac:dyDescent="0.15">
      <c r="K250" s="56"/>
      <c r="L250" s="57"/>
      <c r="M250" s="57"/>
      <c r="N250" s="57"/>
      <c r="O250" s="57"/>
      <c r="P250" s="57"/>
    </row>
    <row r="251" spans="11:16" ht="13" x14ac:dyDescent="0.15">
      <c r="K251" s="56"/>
      <c r="L251" s="57"/>
      <c r="M251" s="57"/>
      <c r="N251" s="57"/>
      <c r="O251" s="57"/>
      <c r="P251" s="57"/>
    </row>
    <row r="252" spans="11:16" ht="13" x14ac:dyDescent="0.15">
      <c r="K252" s="56"/>
      <c r="L252" s="57"/>
      <c r="M252" s="57"/>
      <c r="N252" s="57"/>
      <c r="O252" s="57"/>
      <c r="P252" s="57"/>
    </row>
    <row r="253" spans="11:16" ht="13" x14ac:dyDescent="0.15">
      <c r="K253" s="56"/>
      <c r="L253" s="57"/>
      <c r="M253" s="57"/>
      <c r="N253" s="57"/>
      <c r="O253" s="57"/>
      <c r="P253" s="57"/>
    </row>
    <row r="254" spans="11:16" ht="13" x14ac:dyDescent="0.15">
      <c r="K254" s="56"/>
      <c r="L254" s="57"/>
      <c r="M254" s="57"/>
      <c r="N254" s="57"/>
      <c r="O254" s="57"/>
      <c r="P254" s="57"/>
    </row>
    <row r="255" spans="11:16" ht="13" x14ac:dyDescent="0.15">
      <c r="K255" s="56"/>
      <c r="L255" s="57"/>
      <c r="M255" s="57"/>
      <c r="N255" s="57"/>
      <c r="O255" s="57"/>
      <c r="P255" s="57"/>
    </row>
    <row r="256" spans="11:16" ht="13" x14ac:dyDescent="0.15">
      <c r="K256" s="56"/>
      <c r="L256" s="57"/>
      <c r="M256" s="57"/>
      <c r="N256" s="57"/>
      <c r="O256" s="57"/>
      <c r="P256" s="57"/>
    </row>
    <row r="257" spans="11:16" ht="13" x14ac:dyDescent="0.15">
      <c r="K257" s="56"/>
      <c r="L257" s="57"/>
      <c r="M257" s="57"/>
      <c r="N257" s="57"/>
      <c r="O257" s="57"/>
      <c r="P257" s="57"/>
    </row>
    <row r="258" spans="11:16" ht="13" x14ac:dyDescent="0.15">
      <c r="K258" s="56"/>
      <c r="L258" s="57"/>
      <c r="M258" s="57"/>
      <c r="N258" s="57"/>
      <c r="O258" s="57"/>
      <c r="P258" s="57"/>
    </row>
    <row r="259" spans="11:16" ht="13" x14ac:dyDescent="0.15">
      <c r="K259" s="56"/>
      <c r="L259" s="57"/>
      <c r="M259" s="57"/>
      <c r="N259" s="57"/>
      <c r="O259" s="57"/>
      <c r="P259" s="57"/>
    </row>
    <row r="260" spans="11:16" ht="13" x14ac:dyDescent="0.15">
      <c r="K260" s="56"/>
      <c r="L260" s="57"/>
      <c r="M260" s="57"/>
      <c r="N260" s="57"/>
      <c r="O260" s="57"/>
      <c r="P260" s="57"/>
    </row>
    <row r="261" spans="11:16" ht="13" x14ac:dyDescent="0.15">
      <c r="K261" s="56"/>
      <c r="L261" s="57"/>
      <c r="M261" s="57"/>
      <c r="N261" s="57"/>
      <c r="O261" s="57"/>
      <c r="P261" s="57"/>
    </row>
    <row r="262" spans="11:16" ht="13" x14ac:dyDescent="0.15">
      <c r="K262" s="56"/>
      <c r="L262" s="57"/>
      <c r="M262" s="57"/>
      <c r="N262" s="57"/>
      <c r="O262" s="57"/>
      <c r="P262" s="57"/>
    </row>
    <row r="263" spans="11:16" ht="13" x14ac:dyDescent="0.15">
      <c r="K263" s="56"/>
      <c r="L263" s="57"/>
      <c r="M263" s="57"/>
      <c r="N263" s="57"/>
      <c r="O263" s="57"/>
      <c r="P263" s="57"/>
    </row>
    <row r="264" spans="11:16" ht="13" x14ac:dyDescent="0.15">
      <c r="K264" s="56"/>
      <c r="L264" s="57"/>
      <c r="M264" s="57"/>
      <c r="N264" s="57"/>
      <c r="O264" s="57"/>
      <c r="P264" s="57"/>
    </row>
    <row r="265" spans="11:16" ht="13" x14ac:dyDescent="0.15">
      <c r="K265" s="56"/>
      <c r="L265" s="57"/>
      <c r="M265" s="57"/>
      <c r="N265" s="57"/>
      <c r="O265" s="57"/>
      <c r="P265" s="57"/>
    </row>
    <row r="266" spans="11:16" ht="13" x14ac:dyDescent="0.15">
      <c r="K266" s="56"/>
      <c r="L266" s="57"/>
      <c r="M266" s="57"/>
      <c r="N266" s="57"/>
      <c r="O266" s="57"/>
      <c r="P266" s="57"/>
    </row>
    <row r="267" spans="11:16" ht="13" x14ac:dyDescent="0.15">
      <c r="K267" s="56"/>
      <c r="L267" s="57"/>
      <c r="M267" s="57"/>
      <c r="N267" s="57"/>
      <c r="O267" s="57"/>
      <c r="P267" s="57"/>
    </row>
    <row r="268" spans="11:16" ht="13" x14ac:dyDescent="0.15">
      <c r="K268" s="56"/>
      <c r="L268" s="57"/>
      <c r="M268" s="57"/>
      <c r="N268" s="57"/>
      <c r="O268" s="57"/>
      <c r="P268" s="57"/>
    </row>
    <row r="269" spans="11:16" ht="13" x14ac:dyDescent="0.15">
      <c r="K269" s="56"/>
      <c r="L269" s="57"/>
      <c r="M269" s="57"/>
      <c r="N269" s="57"/>
      <c r="O269" s="57"/>
      <c r="P269" s="57"/>
    </row>
    <row r="270" spans="11:16" ht="13" x14ac:dyDescent="0.15">
      <c r="K270" s="56"/>
      <c r="L270" s="57"/>
      <c r="M270" s="57"/>
      <c r="N270" s="57"/>
      <c r="O270" s="57"/>
      <c r="P270" s="57"/>
    </row>
    <row r="271" spans="11:16" ht="13" x14ac:dyDescent="0.15">
      <c r="K271" s="56"/>
      <c r="L271" s="57"/>
      <c r="M271" s="57"/>
      <c r="N271" s="57"/>
      <c r="O271" s="57"/>
      <c r="P271" s="57"/>
    </row>
    <row r="272" spans="11:16" ht="13" x14ac:dyDescent="0.15">
      <c r="K272" s="56"/>
      <c r="L272" s="57"/>
      <c r="M272" s="57"/>
      <c r="N272" s="57"/>
      <c r="O272" s="57"/>
      <c r="P272" s="57"/>
    </row>
    <row r="273" spans="11:16" ht="13" x14ac:dyDescent="0.15">
      <c r="K273" s="56"/>
      <c r="L273" s="57"/>
      <c r="M273" s="57"/>
      <c r="N273" s="57"/>
      <c r="O273" s="57"/>
      <c r="P273" s="57"/>
    </row>
    <row r="274" spans="11:16" ht="13" x14ac:dyDescent="0.15">
      <c r="K274" s="56"/>
      <c r="L274" s="57"/>
      <c r="M274" s="57"/>
      <c r="N274" s="57"/>
      <c r="O274" s="57"/>
      <c r="P274" s="57"/>
    </row>
    <row r="275" spans="11:16" ht="13" x14ac:dyDescent="0.15">
      <c r="K275" s="56"/>
      <c r="L275" s="57"/>
      <c r="M275" s="57"/>
      <c r="N275" s="57"/>
      <c r="O275" s="57"/>
      <c r="P275" s="57"/>
    </row>
    <row r="276" spans="11:16" ht="13" x14ac:dyDescent="0.15">
      <c r="K276" s="56"/>
      <c r="L276" s="57"/>
      <c r="M276" s="57"/>
      <c r="N276" s="57"/>
      <c r="O276" s="57"/>
      <c r="P276" s="57"/>
    </row>
    <row r="277" spans="11:16" ht="13" x14ac:dyDescent="0.15">
      <c r="K277" s="56"/>
      <c r="L277" s="57"/>
      <c r="M277" s="57"/>
      <c r="N277" s="57"/>
      <c r="O277" s="57"/>
      <c r="P277" s="57"/>
    </row>
    <row r="278" spans="11:16" ht="13" x14ac:dyDescent="0.15">
      <c r="K278" s="56"/>
      <c r="L278" s="57"/>
      <c r="M278" s="57"/>
      <c r="N278" s="57"/>
      <c r="O278" s="57"/>
      <c r="P278" s="57"/>
    </row>
    <row r="279" spans="11:16" ht="13" x14ac:dyDescent="0.15">
      <c r="K279" s="56"/>
      <c r="L279" s="57"/>
      <c r="M279" s="57"/>
      <c r="N279" s="57"/>
      <c r="O279" s="57"/>
      <c r="P279" s="57"/>
    </row>
    <row r="280" spans="11:16" ht="13" x14ac:dyDescent="0.15">
      <c r="K280" s="56"/>
      <c r="L280" s="57"/>
      <c r="M280" s="57"/>
      <c r="N280" s="57"/>
      <c r="O280" s="57"/>
      <c r="P280" s="57"/>
    </row>
    <row r="281" spans="11:16" ht="13" x14ac:dyDescent="0.15">
      <c r="K281" s="56"/>
      <c r="L281" s="57"/>
      <c r="M281" s="57"/>
      <c r="N281" s="57"/>
      <c r="O281" s="57"/>
      <c r="P281" s="57"/>
    </row>
    <row r="282" spans="11:16" ht="13" x14ac:dyDescent="0.15">
      <c r="K282" s="56"/>
      <c r="L282" s="57"/>
      <c r="M282" s="57"/>
      <c r="N282" s="57"/>
      <c r="O282" s="57"/>
      <c r="P282" s="57"/>
    </row>
    <row r="283" spans="11:16" ht="13" x14ac:dyDescent="0.15">
      <c r="K283" s="56"/>
      <c r="L283" s="57"/>
      <c r="M283" s="57"/>
      <c r="N283" s="57"/>
      <c r="O283" s="57"/>
      <c r="P283" s="57"/>
    </row>
    <row r="284" spans="11:16" ht="13" x14ac:dyDescent="0.15">
      <c r="K284" s="56"/>
      <c r="L284" s="57"/>
      <c r="M284" s="57"/>
      <c r="N284" s="57"/>
      <c r="O284" s="57"/>
      <c r="P284" s="57"/>
    </row>
    <row r="285" spans="11:16" ht="13" x14ac:dyDescent="0.15">
      <c r="K285" s="56"/>
      <c r="L285" s="57"/>
      <c r="M285" s="57"/>
      <c r="N285" s="57"/>
      <c r="O285" s="57"/>
      <c r="P285" s="57"/>
    </row>
    <row r="286" spans="11:16" ht="13" x14ac:dyDescent="0.15">
      <c r="K286" s="56"/>
      <c r="L286" s="57"/>
      <c r="M286" s="57"/>
      <c r="N286" s="57"/>
      <c r="O286" s="57"/>
      <c r="P286" s="57"/>
    </row>
    <row r="287" spans="11:16" ht="13" x14ac:dyDescent="0.15">
      <c r="K287" s="56"/>
      <c r="L287" s="57"/>
      <c r="M287" s="57"/>
      <c r="N287" s="57"/>
      <c r="O287" s="57"/>
      <c r="P287" s="57"/>
    </row>
    <row r="288" spans="11:16" ht="13" x14ac:dyDescent="0.15">
      <c r="K288" s="56"/>
      <c r="L288" s="57"/>
      <c r="M288" s="57"/>
      <c r="N288" s="57"/>
      <c r="O288" s="57"/>
      <c r="P288" s="57"/>
    </row>
    <row r="289" spans="11:16" ht="13" x14ac:dyDescent="0.15">
      <c r="K289" s="56"/>
      <c r="L289" s="57"/>
      <c r="M289" s="57"/>
      <c r="N289" s="57"/>
      <c r="O289" s="57"/>
      <c r="P289" s="57"/>
    </row>
    <row r="290" spans="11:16" ht="13" x14ac:dyDescent="0.15">
      <c r="K290" s="56"/>
      <c r="L290" s="57"/>
      <c r="M290" s="57"/>
      <c r="N290" s="57"/>
      <c r="O290" s="57"/>
      <c r="P290" s="57"/>
    </row>
    <row r="291" spans="11:16" ht="13" x14ac:dyDescent="0.15">
      <c r="K291" s="56"/>
      <c r="L291" s="57"/>
      <c r="M291" s="57"/>
      <c r="N291" s="57"/>
      <c r="O291" s="57"/>
      <c r="P291" s="57"/>
    </row>
    <row r="292" spans="11:16" ht="13" x14ac:dyDescent="0.15">
      <c r="K292" s="56"/>
      <c r="L292" s="57"/>
      <c r="M292" s="57"/>
      <c r="N292" s="57"/>
      <c r="O292" s="57"/>
      <c r="P292" s="57"/>
    </row>
    <row r="293" spans="11:16" ht="13" x14ac:dyDescent="0.15">
      <c r="K293" s="56"/>
      <c r="L293" s="57"/>
      <c r="M293" s="57"/>
      <c r="N293" s="57"/>
      <c r="O293" s="57"/>
      <c r="P293" s="57"/>
    </row>
    <row r="294" spans="11:16" ht="13" x14ac:dyDescent="0.15">
      <c r="K294" s="56"/>
      <c r="L294" s="57"/>
      <c r="M294" s="57"/>
      <c r="N294" s="57"/>
      <c r="O294" s="57"/>
      <c r="P294" s="57"/>
    </row>
    <row r="295" spans="11:16" ht="13" x14ac:dyDescent="0.15">
      <c r="K295" s="56"/>
      <c r="L295" s="57"/>
      <c r="M295" s="57"/>
      <c r="N295" s="57"/>
      <c r="O295" s="57"/>
      <c r="P295" s="57"/>
    </row>
    <row r="296" spans="11:16" ht="13" x14ac:dyDescent="0.15">
      <c r="K296" s="56"/>
      <c r="L296" s="57"/>
      <c r="M296" s="57"/>
      <c r="N296" s="57"/>
      <c r="O296" s="57"/>
      <c r="P296" s="57"/>
    </row>
    <row r="297" spans="11:16" ht="13" x14ac:dyDescent="0.15">
      <c r="K297" s="56"/>
      <c r="L297" s="57"/>
      <c r="M297" s="57"/>
      <c r="N297" s="57"/>
      <c r="O297" s="57"/>
      <c r="P297" s="57"/>
    </row>
    <row r="298" spans="11:16" ht="13" x14ac:dyDescent="0.15">
      <c r="K298" s="56"/>
      <c r="L298" s="57"/>
      <c r="M298" s="57"/>
      <c r="N298" s="57"/>
      <c r="O298" s="57"/>
      <c r="P298" s="57"/>
    </row>
    <row r="299" spans="11:16" ht="13" x14ac:dyDescent="0.15">
      <c r="K299" s="56"/>
      <c r="L299" s="57"/>
      <c r="M299" s="57"/>
      <c r="N299" s="57"/>
      <c r="O299" s="57"/>
      <c r="P299" s="57"/>
    </row>
    <row r="300" spans="11:16" ht="13" x14ac:dyDescent="0.15">
      <c r="K300" s="56"/>
      <c r="L300" s="57"/>
      <c r="M300" s="57"/>
      <c r="N300" s="57"/>
      <c r="O300" s="57"/>
      <c r="P300" s="57"/>
    </row>
    <row r="301" spans="11:16" ht="13" x14ac:dyDescent="0.15">
      <c r="K301" s="56"/>
      <c r="L301" s="57"/>
      <c r="M301" s="57"/>
      <c r="N301" s="57"/>
      <c r="O301" s="57"/>
      <c r="P301" s="57"/>
    </row>
    <row r="302" spans="11:16" ht="13" x14ac:dyDescent="0.15">
      <c r="K302" s="56"/>
      <c r="L302" s="57"/>
      <c r="M302" s="57"/>
      <c r="N302" s="57"/>
      <c r="O302" s="57"/>
      <c r="P302" s="57"/>
    </row>
    <row r="303" spans="11:16" ht="13" x14ac:dyDescent="0.15">
      <c r="K303" s="56"/>
      <c r="L303" s="57"/>
      <c r="M303" s="57"/>
      <c r="N303" s="57"/>
      <c r="O303" s="57"/>
      <c r="P303" s="57"/>
    </row>
    <row r="304" spans="11:16" ht="13" x14ac:dyDescent="0.15">
      <c r="K304" s="56"/>
      <c r="L304" s="57"/>
      <c r="M304" s="57"/>
      <c r="N304" s="57"/>
      <c r="O304" s="57"/>
      <c r="P304" s="57"/>
    </row>
    <row r="305" spans="11:16" ht="13" x14ac:dyDescent="0.15">
      <c r="K305" s="56"/>
      <c r="L305" s="57"/>
      <c r="M305" s="57"/>
      <c r="N305" s="57"/>
      <c r="O305" s="57"/>
      <c r="P305" s="57"/>
    </row>
    <row r="306" spans="11:16" ht="13" x14ac:dyDescent="0.15">
      <c r="K306" s="56"/>
      <c r="L306" s="57"/>
      <c r="M306" s="57"/>
      <c r="N306" s="57"/>
      <c r="O306" s="57"/>
      <c r="P306" s="57"/>
    </row>
    <row r="307" spans="11:16" ht="13" x14ac:dyDescent="0.15">
      <c r="K307" s="56"/>
      <c r="L307" s="57"/>
      <c r="M307" s="57"/>
      <c r="N307" s="57"/>
      <c r="O307" s="57"/>
      <c r="P307" s="57"/>
    </row>
    <row r="308" spans="11:16" ht="13" x14ac:dyDescent="0.15">
      <c r="K308" s="56"/>
      <c r="L308" s="57"/>
      <c r="M308" s="57"/>
      <c r="N308" s="57"/>
      <c r="O308" s="57"/>
      <c r="P308" s="57"/>
    </row>
    <row r="309" spans="11:16" ht="13" x14ac:dyDescent="0.15">
      <c r="K309" s="56"/>
      <c r="L309" s="57"/>
      <c r="M309" s="57"/>
      <c r="N309" s="57"/>
      <c r="O309" s="57"/>
      <c r="P309" s="57"/>
    </row>
    <row r="310" spans="11:16" ht="13" x14ac:dyDescent="0.15">
      <c r="K310" s="56"/>
      <c r="L310" s="57"/>
      <c r="M310" s="57"/>
      <c r="N310" s="57"/>
      <c r="O310" s="57"/>
      <c r="P310" s="57"/>
    </row>
    <row r="311" spans="11:16" ht="13" x14ac:dyDescent="0.15">
      <c r="K311" s="56"/>
      <c r="L311" s="57"/>
      <c r="M311" s="57"/>
      <c r="N311" s="57"/>
      <c r="O311" s="57"/>
      <c r="P311" s="57"/>
    </row>
    <row r="312" spans="11:16" ht="13" x14ac:dyDescent="0.15">
      <c r="K312" s="56"/>
      <c r="L312" s="57"/>
      <c r="M312" s="57"/>
      <c r="N312" s="57"/>
      <c r="O312" s="57"/>
      <c r="P312" s="57"/>
    </row>
    <row r="313" spans="11:16" ht="13" x14ac:dyDescent="0.15">
      <c r="K313" s="56"/>
      <c r="L313" s="57"/>
      <c r="M313" s="57"/>
      <c r="N313" s="57"/>
      <c r="O313" s="57"/>
      <c r="P313" s="57"/>
    </row>
    <row r="314" spans="11:16" ht="13" x14ac:dyDescent="0.15">
      <c r="K314" s="56"/>
      <c r="L314" s="57"/>
      <c r="M314" s="57"/>
      <c r="N314" s="57"/>
      <c r="O314" s="57"/>
      <c r="P314" s="57"/>
    </row>
    <row r="315" spans="11:16" ht="13" x14ac:dyDescent="0.15">
      <c r="K315" s="56"/>
      <c r="L315" s="57"/>
      <c r="M315" s="57"/>
      <c r="N315" s="57"/>
      <c r="O315" s="57"/>
      <c r="P315" s="57"/>
    </row>
    <row r="316" spans="11:16" ht="13" x14ac:dyDescent="0.15">
      <c r="K316" s="56"/>
      <c r="L316" s="57"/>
      <c r="M316" s="57"/>
      <c r="N316" s="57"/>
      <c r="O316" s="57"/>
      <c r="P316" s="57"/>
    </row>
    <row r="317" spans="11:16" ht="13" x14ac:dyDescent="0.15">
      <c r="K317" s="56"/>
      <c r="L317" s="57"/>
      <c r="M317" s="57"/>
      <c r="N317" s="57"/>
      <c r="O317" s="57"/>
      <c r="P317" s="57"/>
    </row>
    <row r="318" spans="11:16" ht="13" x14ac:dyDescent="0.15">
      <c r="K318" s="56"/>
      <c r="L318" s="57"/>
      <c r="M318" s="57"/>
      <c r="N318" s="57"/>
      <c r="O318" s="57"/>
      <c r="P318" s="57"/>
    </row>
    <row r="319" spans="11:16" ht="13" x14ac:dyDescent="0.15">
      <c r="K319" s="56"/>
      <c r="L319" s="57"/>
      <c r="M319" s="57"/>
      <c r="N319" s="57"/>
      <c r="O319" s="57"/>
      <c r="P319" s="57"/>
    </row>
    <row r="320" spans="11:16" ht="13" x14ac:dyDescent="0.15">
      <c r="K320" s="56"/>
      <c r="L320" s="57"/>
      <c r="M320" s="57"/>
      <c r="N320" s="57"/>
      <c r="O320" s="57"/>
      <c r="P320" s="57"/>
    </row>
    <row r="321" spans="11:16" ht="13" x14ac:dyDescent="0.15">
      <c r="K321" s="56"/>
      <c r="L321" s="57"/>
      <c r="M321" s="57"/>
      <c r="N321" s="57"/>
      <c r="O321" s="57"/>
      <c r="P321" s="57"/>
    </row>
    <row r="322" spans="11:16" ht="13" x14ac:dyDescent="0.15">
      <c r="K322" s="56"/>
      <c r="L322" s="57"/>
      <c r="M322" s="57"/>
      <c r="N322" s="57"/>
      <c r="O322" s="57"/>
      <c r="P322" s="57"/>
    </row>
    <row r="323" spans="11:16" ht="13" x14ac:dyDescent="0.15">
      <c r="K323" s="56"/>
      <c r="L323" s="57"/>
      <c r="M323" s="57"/>
      <c r="N323" s="57"/>
      <c r="O323" s="57"/>
      <c r="P323" s="57"/>
    </row>
    <row r="324" spans="11:16" ht="13" x14ac:dyDescent="0.15">
      <c r="K324" s="56"/>
      <c r="L324" s="57"/>
      <c r="M324" s="57"/>
      <c r="N324" s="57"/>
      <c r="O324" s="57"/>
      <c r="P324" s="57"/>
    </row>
    <row r="325" spans="11:16" ht="13" x14ac:dyDescent="0.15">
      <c r="K325" s="56"/>
      <c r="L325" s="57"/>
      <c r="M325" s="57"/>
      <c r="N325" s="57"/>
      <c r="O325" s="57"/>
      <c r="P325" s="57"/>
    </row>
    <row r="326" spans="11:16" ht="13" x14ac:dyDescent="0.15">
      <c r="K326" s="56"/>
      <c r="L326" s="57"/>
      <c r="M326" s="57"/>
      <c r="N326" s="57"/>
      <c r="O326" s="57"/>
      <c r="P326" s="57"/>
    </row>
    <row r="327" spans="11:16" ht="13" x14ac:dyDescent="0.15">
      <c r="K327" s="56"/>
      <c r="L327" s="57"/>
      <c r="M327" s="57"/>
      <c r="N327" s="57"/>
      <c r="O327" s="57"/>
      <c r="P327" s="57"/>
    </row>
    <row r="328" spans="11:16" ht="13" x14ac:dyDescent="0.15">
      <c r="K328" s="56"/>
      <c r="L328" s="57"/>
      <c r="M328" s="57"/>
      <c r="N328" s="57"/>
      <c r="O328" s="57"/>
      <c r="P328" s="57"/>
    </row>
    <row r="329" spans="11:16" ht="13" x14ac:dyDescent="0.15">
      <c r="K329" s="56"/>
      <c r="L329" s="57"/>
      <c r="M329" s="57"/>
      <c r="N329" s="57"/>
      <c r="O329" s="57"/>
      <c r="P329" s="57"/>
    </row>
    <row r="330" spans="11:16" ht="13" x14ac:dyDescent="0.15">
      <c r="K330" s="56"/>
      <c r="L330" s="57"/>
      <c r="M330" s="57"/>
      <c r="N330" s="57"/>
      <c r="O330" s="57"/>
      <c r="P330" s="57"/>
    </row>
    <row r="331" spans="11:16" ht="13" x14ac:dyDescent="0.15">
      <c r="K331" s="56"/>
      <c r="L331" s="57"/>
      <c r="M331" s="57"/>
      <c r="N331" s="57"/>
      <c r="O331" s="57"/>
      <c r="P331" s="57"/>
    </row>
    <row r="332" spans="11:16" ht="13" x14ac:dyDescent="0.15">
      <c r="K332" s="56"/>
      <c r="L332" s="57"/>
      <c r="M332" s="57"/>
      <c r="N332" s="57"/>
      <c r="O332" s="57"/>
      <c r="P332" s="57"/>
    </row>
    <row r="333" spans="11:16" ht="13" x14ac:dyDescent="0.15">
      <c r="K333" s="56"/>
      <c r="L333" s="57"/>
      <c r="M333" s="57"/>
      <c r="N333" s="57"/>
      <c r="O333" s="57"/>
      <c r="P333" s="57"/>
    </row>
    <row r="334" spans="11:16" ht="13" x14ac:dyDescent="0.15">
      <c r="K334" s="56"/>
      <c r="L334" s="57"/>
      <c r="M334" s="57"/>
      <c r="N334" s="57"/>
      <c r="O334" s="57"/>
      <c r="P334" s="57"/>
    </row>
    <row r="335" spans="11:16" ht="13" x14ac:dyDescent="0.15">
      <c r="K335" s="56"/>
      <c r="L335" s="57"/>
      <c r="M335" s="57"/>
      <c r="N335" s="57"/>
      <c r="O335" s="57"/>
      <c r="P335" s="57"/>
    </row>
    <row r="336" spans="11:16" ht="13" x14ac:dyDescent="0.15">
      <c r="K336" s="56"/>
      <c r="L336" s="57"/>
      <c r="M336" s="57"/>
      <c r="N336" s="57"/>
      <c r="O336" s="57"/>
      <c r="P336" s="57"/>
    </row>
    <row r="337" spans="11:16" ht="13" x14ac:dyDescent="0.15">
      <c r="K337" s="56"/>
      <c r="L337" s="57"/>
      <c r="M337" s="57"/>
      <c r="N337" s="57"/>
      <c r="O337" s="57"/>
      <c r="P337" s="57"/>
    </row>
    <row r="338" spans="11:16" ht="13" x14ac:dyDescent="0.15">
      <c r="K338" s="56"/>
      <c r="L338" s="57"/>
      <c r="M338" s="57"/>
      <c r="N338" s="57"/>
      <c r="O338" s="57"/>
      <c r="P338" s="57"/>
    </row>
    <row r="339" spans="11:16" ht="13" x14ac:dyDescent="0.15">
      <c r="K339" s="56"/>
      <c r="L339" s="57"/>
      <c r="M339" s="57"/>
      <c r="N339" s="57"/>
      <c r="O339" s="57"/>
      <c r="P339" s="57"/>
    </row>
    <row r="340" spans="11:16" ht="13" x14ac:dyDescent="0.15">
      <c r="K340" s="56"/>
      <c r="L340" s="57"/>
      <c r="M340" s="57"/>
      <c r="N340" s="57"/>
      <c r="O340" s="57"/>
      <c r="P340" s="57"/>
    </row>
    <row r="341" spans="11:16" ht="13" x14ac:dyDescent="0.15">
      <c r="K341" s="56"/>
      <c r="L341" s="57"/>
      <c r="M341" s="57"/>
      <c r="N341" s="57"/>
      <c r="O341" s="57"/>
      <c r="P341" s="57"/>
    </row>
    <row r="342" spans="11:16" ht="13" x14ac:dyDescent="0.15">
      <c r="K342" s="56"/>
      <c r="L342" s="57"/>
      <c r="M342" s="57"/>
      <c r="N342" s="57"/>
      <c r="O342" s="57"/>
      <c r="P342" s="57"/>
    </row>
    <row r="343" spans="11:16" ht="13" x14ac:dyDescent="0.15">
      <c r="K343" s="56"/>
      <c r="L343" s="57"/>
      <c r="M343" s="57"/>
      <c r="N343" s="57"/>
      <c r="O343" s="57"/>
      <c r="P343" s="57"/>
    </row>
    <row r="344" spans="11:16" ht="13" x14ac:dyDescent="0.15">
      <c r="K344" s="56"/>
      <c r="L344" s="57"/>
      <c r="M344" s="57"/>
      <c r="N344" s="57"/>
      <c r="O344" s="57"/>
      <c r="P344" s="57"/>
    </row>
    <row r="345" spans="11:16" ht="13" x14ac:dyDescent="0.15">
      <c r="K345" s="56"/>
      <c r="L345" s="57"/>
      <c r="M345" s="57"/>
      <c r="N345" s="57"/>
      <c r="O345" s="57"/>
      <c r="P345" s="57"/>
    </row>
    <row r="346" spans="11:16" ht="13" x14ac:dyDescent="0.15">
      <c r="K346" s="56"/>
      <c r="L346" s="57"/>
      <c r="M346" s="57"/>
      <c r="N346" s="57"/>
      <c r="O346" s="57"/>
      <c r="P346" s="57"/>
    </row>
    <row r="347" spans="11:16" ht="13" x14ac:dyDescent="0.15">
      <c r="K347" s="56"/>
      <c r="L347" s="57"/>
      <c r="M347" s="57"/>
      <c r="N347" s="57"/>
      <c r="O347" s="57"/>
      <c r="P347" s="57"/>
    </row>
    <row r="348" spans="11:16" ht="13" x14ac:dyDescent="0.15">
      <c r="K348" s="56"/>
      <c r="L348" s="57"/>
      <c r="M348" s="57"/>
      <c r="N348" s="57"/>
      <c r="O348" s="57"/>
      <c r="P348" s="57"/>
    </row>
    <row r="349" spans="11:16" ht="13" x14ac:dyDescent="0.15">
      <c r="K349" s="56"/>
      <c r="L349" s="57"/>
      <c r="M349" s="57"/>
      <c r="N349" s="57"/>
      <c r="O349" s="57"/>
      <c r="P349" s="57"/>
    </row>
    <row r="350" spans="11:16" ht="13" x14ac:dyDescent="0.15">
      <c r="K350" s="56"/>
      <c r="L350" s="57"/>
      <c r="M350" s="57"/>
      <c r="N350" s="57"/>
      <c r="O350" s="57"/>
      <c r="P350" s="57"/>
    </row>
    <row r="351" spans="11:16" ht="13" x14ac:dyDescent="0.15">
      <c r="K351" s="56"/>
      <c r="L351" s="57"/>
      <c r="M351" s="57"/>
      <c r="N351" s="57"/>
      <c r="O351" s="57"/>
      <c r="P351" s="57"/>
    </row>
    <row r="352" spans="11:16" ht="13" x14ac:dyDescent="0.15">
      <c r="K352" s="56"/>
      <c r="L352" s="57"/>
      <c r="M352" s="57"/>
      <c r="N352" s="57"/>
      <c r="O352" s="57"/>
      <c r="P352" s="57"/>
    </row>
    <row r="353" spans="11:16" ht="13" x14ac:dyDescent="0.15">
      <c r="K353" s="56"/>
      <c r="L353" s="57"/>
      <c r="M353" s="57"/>
      <c r="N353" s="57"/>
      <c r="O353" s="57"/>
      <c r="P353" s="57"/>
    </row>
    <row r="354" spans="11:16" ht="13" x14ac:dyDescent="0.15">
      <c r="K354" s="56"/>
      <c r="L354" s="57"/>
      <c r="M354" s="57"/>
      <c r="N354" s="57"/>
      <c r="O354" s="57"/>
      <c r="P354" s="57"/>
    </row>
    <row r="355" spans="11:16" ht="13" x14ac:dyDescent="0.15">
      <c r="K355" s="56"/>
      <c r="L355" s="57"/>
      <c r="M355" s="57"/>
      <c r="N355" s="57"/>
      <c r="O355" s="57"/>
      <c r="P355" s="57"/>
    </row>
    <row r="356" spans="11:16" ht="13" x14ac:dyDescent="0.15">
      <c r="K356" s="56"/>
      <c r="L356" s="57"/>
      <c r="M356" s="57"/>
      <c r="N356" s="57"/>
      <c r="O356" s="57"/>
      <c r="P356" s="57"/>
    </row>
    <row r="357" spans="11:16" ht="13" x14ac:dyDescent="0.15">
      <c r="K357" s="56"/>
      <c r="L357" s="57"/>
      <c r="M357" s="57"/>
      <c r="N357" s="57"/>
      <c r="O357" s="57"/>
      <c r="P357" s="57"/>
    </row>
    <row r="358" spans="11:16" ht="13" x14ac:dyDescent="0.15">
      <c r="K358" s="56"/>
      <c r="L358" s="57"/>
      <c r="M358" s="57"/>
      <c r="N358" s="57"/>
      <c r="O358" s="57"/>
      <c r="P358" s="57"/>
    </row>
    <row r="359" spans="11:16" ht="13" x14ac:dyDescent="0.15">
      <c r="K359" s="56"/>
      <c r="L359" s="57"/>
      <c r="M359" s="57"/>
      <c r="N359" s="57"/>
      <c r="O359" s="57"/>
      <c r="P359" s="57"/>
    </row>
    <row r="360" spans="11:16" ht="13" x14ac:dyDescent="0.15">
      <c r="K360" s="56"/>
      <c r="L360" s="57"/>
      <c r="M360" s="57"/>
      <c r="N360" s="57"/>
      <c r="O360" s="57"/>
      <c r="P360" s="57"/>
    </row>
    <row r="361" spans="11:16" ht="13" x14ac:dyDescent="0.15">
      <c r="K361" s="56"/>
      <c r="L361" s="57"/>
      <c r="M361" s="57"/>
      <c r="N361" s="57"/>
      <c r="O361" s="57"/>
      <c r="P361" s="57"/>
    </row>
    <row r="362" spans="11:16" ht="13" x14ac:dyDescent="0.15">
      <c r="K362" s="56"/>
      <c r="L362" s="57"/>
      <c r="M362" s="57"/>
      <c r="N362" s="57"/>
      <c r="O362" s="57"/>
      <c r="P362" s="57"/>
    </row>
    <row r="363" spans="11:16" ht="13" x14ac:dyDescent="0.15">
      <c r="K363" s="56"/>
      <c r="L363" s="57"/>
      <c r="M363" s="57"/>
      <c r="N363" s="57"/>
      <c r="O363" s="57"/>
      <c r="P363" s="57"/>
    </row>
    <row r="364" spans="11:16" ht="13" x14ac:dyDescent="0.15">
      <c r="K364" s="56"/>
      <c r="L364" s="57"/>
      <c r="M364" s="57"/>
      <c r="N364" s="57"/>
      <c r="O364" s="57"/>
      <c r="P364" s="57"/>
    </row>
    <row r="365" spans="11:16" ht="13" x14ac:dyDescent="0.15">
      <c r="K365" s="56"/>
      <c r="L365" s="57"/>
      <c r="M365" s="57"/>
      <c r="N365" s="57"/>
      <c r="O365" s="57"/>
      <c r="P365" s="57"/>
    </row>
    <row r="366" spans="11:16" ht="13" x14ac:dyDescent="0.15">
      <c r="K366" s="56"/>
      <c r="L366" s="57"/>
      <c r="M366" s="57"/>
      <c r="N366" s="57"/>
      <c r="O366" s="57"/>
      <c r="P366" s="57"/>
    </row>
    <row r="367" spans="11:16" ht="13" x14ac:dyDescent="0.15">
      <c r="K367" s="56"/>
      <c r="L367" s="57"/>
      <c r="M367" s="57"/>
      <c r="N367" s="57"/>
      <c r="O367" s="57"/>
      <c r="P367" s="57"/>
    </row>
    <row r="368" spans="11:16" ht="13" x14ac:dyDescent="0.15">
      <c r="K368" s="56"/>
      <c r="L368" s="57"/>
      <c r="M368" s="57"/>
      <c r="N368" s="57"/>
      <c r="O368" s="57"/>
      <c r="P368" s="57"/>
    </row>
    <row r="369" spans="11:16" ht="13" x14ac:dyDescent="0.15">
      <c r="K369" s="56"/>
      <c r="L369" s="57"/>
      <c r="M369" s="57"/>
      <c r="N369" s="57"/>
      <c r="O369" s="57"/>
      <c r="P369" s="57"/>
    </row>
    <row r="370" spans="11:16" ht="13" x14ac:dyDescent="0.15">
      <c r="K370" s="56"/>
      <c r="L370" s="57"/>
      <c r="M370" s="57"/>
      <c r="N370" s="57"/>
      <c r="O370" s="57"/>
      <c r="P370" s="57"/>
    </row>
    <row r="371" spans="11:16" ht="13" x14ac:dyDescent="0.15">
      <c r="K371" s="56"/>
      <c r="L371" s="57"/>
      <c r="M371" s="57"/>
      <c r="N371" s="57"/>
      <c r="O371" s="57"/>
      <c r="P371" s="57"/>
    </row>
    <row r="372" spans="11:16" ht="13" x14ac:dyDescent="0.15">
      <c r="K372" s="56"/>
      <c r="L372" s="57"/>
      <c r="M372" s="57"/>
      <c r="N372" s="57"/>
      <c r="O372" s="57"/>
      <c r="P372" s="57"/>
    </row>
    <row r="373" spans="11:16" ht="13" x14ac:dyDescent="0.15">
      <c r="K373" s="56"/>
      <c r="L373" s="57"/>
      <c r="M373" s="57"/>
      <c r="N373" s="57"/>
      <c r="O373" s="57"/>
      <c r="P373" s="57"/>
    </row>
    <row r="374" spans="11:16" ht="13" x14ac:dyDescent="0.15">
      <c r="K374" s="56"/>
      <c r="L374" s="57"/>
      <c r="M374" s="57"/>
      <c r="N374" s="57"/>
      <c r="O374" s="57"/>
      <c r="P374" s="57"/>
    </row>
    <row r="375" spans="11:16" ht="13" x14ac:dyDescent="0.15">
      <c r="K375" s="56"/>
      <c r="L375" s="57"/>
      <c r="M375" s="57"/>
      <c r="N375" s="57"/>
      <c r="O375" s="57"/>
      <c r="P375" s="57"/>
    </row>
    <row r="376" spans="11:16" ht="13" x14ac:dyDescent="0.15">
      <c r="K376" s="56"/>
      <c r="L376" s="57"/>
      <c r="M376" s="57"/>
      <c r="N376" s="57"/>
      <c r="O376" s="57"/>
      <c r="P376" s="57"/>
    </row>
    <row r="377" spans="11:16" ht="13" x14ac:dyDescent="0.15">
      <c r="K377" s="56"/>
      <c r="L377" s="57"/>
      <c r="M377" s="57"/>
      <c r="N377" s="57"/>
      <c r="O377" s="57"/>
      <c r="P377" s="57"/>
    </row>
    <row r="378" spans="11:16" ht="13" x14ac:dyDescent="0.15">
      <c r="K378" s="56"/>
      <c r="L378" s="57"/>
      <c r="M378" s="57"/>
      <c r="N378" s="57"/>
      <c r="O378" s="57"/>
      <c r="P378" s="57"/>
    </row>
    <row r="379" spans="11:16" ht="13" x14ac:dyDescent="0.15">
      <c r="K379" s="56"/>
      <c r="L379" s="57"/>
      <c r="M379" s="57"/>
      <c r="N379" s="57"/>
      <c r="O379" s="57"/>
      <c r="P379" s="57"/>
    </row>
    <row r="380" spans="11:16" ht="13" x14ac:dyDescent="0.15">
      <c r="K380" s="56"/>
      <c r="L380" s="57"/>
      <c r="M380" s="57"/>
      <c r="N380" s="57"/>
      <c r="O380" s="57"/>
      <c r="P380" s="57"/>
    </row>
    <row r="381" spans="11:16" ht="13" x14ac:dyDescent="0.15">
      <c r="K381" s="56"/>
      <c r="L381" s="57"/>
      <c r="M381" s="57"/>
      <c r="N381" s="57"/>
      <c r="O381" s="57"/>
      <c r="P381" s="57"/>
    </row>
    <row r="382" spans="11:16" ht="13" x14ac:dyDescent="0.15">
      <c r="K382" s="56"/>
      <c r="L382" s="57"/>
      <c r="M382" s="57"/>
      <c r="N382" s="57"/>
      <c r="O382" s="57"/>
      <c r="P382" s="57"/>
    </row>
    <row r="383" spans="11:16" ht="13" x14ac:dyDescent="0.15">
      <c r="K383" s="56"/>
      <c r="L383" s="57"/>
      <c r="M383" s="57"/>
      <c r="N383" s="57"/>
      <c r="O383" s="57"/>
      <c r="P383" s="57"/>
    </row>
    <row r="384" spans="11:16" ht="13" x14ac:dyDescent="0.15">
      <c r="K384" s="56"/>
      <c r="L384" s="57"/>
      <c r="M384" s="57"/>
      <c r="N384" s="57"/>
      <c r="O384" s="57"/>
      <c r="P384" s="57"/>
    </row>
    <row r="385" spans="11:16" ht="13" x14ac:dyDescent="0.15">
      <c r="K385" s="56"/>
      <c r="L385" s="57"/>
      <c r="M385" s="57"/>
      <c r="N385" s="57"/>
      <c r="O385" s="57"/>
      <c r="P385" s="57"/>
    </row>
    <row r="386" spans="11:16" ht="13" x14ac:dyDescent="0.15">
      <c r="K386" s="56"/>
      <c r="L386" s="57"/>
      <c r="M386" s="57"/>
      <c r="N386" s="57"/>
      <c r="O386" s="57"/>
      <c r="P386" s="57"/>
    </row>
    <row r="387" spans="11:16" ht="13" x14ac:dyDescent="0.15">
      <c r="K387" s="56"/>
      <c r="L387" s="57"/>
      <c r="M387" s="57"/>
      <c r="N387" s="57"/>
      <c r="O387" s="57"/>
      <c r="P387" s="57"/>
    </row>
    <row r="388" spans="11:16" ht="13" x14ac:dyDescent="0.15">
      <c r="K388" s="56"/>
      <c r="L388" s="57"/>
      <c r="M388" s="57"/>
      <c r="N388" s="57"/>
      <c r="O388" s="57"/>
      <c r="P388" s="57"/>
    </row>
    <row r="389" spans="11:16" ht="13" x14ac:dyDescent="0.15">
      <c r="K389" s="56"/>
      <c r="L389" s="57"/>
      <c r="M389" s="57"/>
      <c r="N389" s="57"/>
      <c r="O389" s="57"/>
      <c r="P389" s="57"/>
    </row>
    <row r="390" spans="11:16" ht="13" x14ac:dyDescent="0.15">
      <c r="K390" s="56"/>
      <c r="L390" s="57"/>
      <c r="M390" s="57"/>
      <c r="N390" s="57"/>
      <c r="O390" s="57"/>
      <c r="P390" s="57"/>
    </row>
    <row r="391" spans="11:16" ht="13" x14ac:dyDescent="0.15">
      <c r="K391" s="56"/>
      <c r="L391" s="57"/>
      <c r="M391" s="57"/>
      <c r="N391" s="57"/>
      <c r="O391" s="57"/>
      <c r="P391" s="57"/>
    </row>
    <row r="392" spans="11:16" ht="13" x14ac:dyDescent="0.15">
      <c r="K392" s="56"/>
      <c r="L392" s="57"/>
      <c r="M392" s="57"/>
      <c r="N392" s="57"/>
      <c r="O392" s="57"/>
      <c r="P392" s="57"/>
    </row>
    <row r="393" spans="11:16" ht="13" x14ac:dyDescent="0.15">
      <c r="K393" s="56"/>
      <c r="L393" s="57"/>
      <c r="M393" s="57"/>
      <c r="N393" s="57"/>
      <c r="O393" s="57"/>
      <c r="P393" s="57"/>
    </row>
    <row r="394" spans="11:16" ht="13" x14ac:dyDescent="0.15">
      <c r="K394" s="56"/>
      <c r="L394" s="57"/>
      <c r="M394" s="57"/>
      <c r="N394" s="57"/>
      <c r="O394" s="57"/>
      <c r="P394" s="57"/>
    </row>
    <row r="395" spans="11:16" ht="13" x14ac:dyDescent="0.15">
      <c r="K395" s="56"/>
      <c r="L395" s="57"/>
      <c r="M395" s="57"/>
      <c r="N395" s="57"/>
      <c r="O395" s="57"/>
      <c r="P395" s="57"/>
    </row>
    <row r="396" spans="11:16" ht="13" x14ac:dyDescent="0.15">
      <c r="K396" s="56"/>
      <c r="L396" s="57"/>
      <c r="M396" s="57"/>
      <c r="N396" s="57"/>
      <c r="O396" s="57"/>
      <c r="P396" s="57"/>
    </row>
    <row r="397" spans="11:16" ht="13" x14ac:dyDescent="0.15">
      <c r="K397" s="56"/>
      <c r="L397" s="57"/>
      <c r="M397" s="57"/>
      <c r="N397" s="57"/>
      <c r="O397" s="57"/>
      <c r="P397" s="57"/>
    </row>
    <row r="398" spans="11:16" ht="13" x14ac:dyDescent="0.15">
      <c r="K398" s="56"/>
      <c r="L398" s="57"/>
      <c r="M398" s="57"/>
      <c r="N398" s="57"/>
      <c r="O398" s="57"/>
      <c r="P398" s="57"/>
    </row>
    <row r="399" spans="11:16" ht="13" x14ac:dyDescent="0.15">
      <c r="K399" s="56"/>
      <c r="L399" s="57"/>
      <c r="M399" s="57"/>
      <c r="N399" s="57"/>
      <c r="O399" s="57"/>
      <c r="P399" s="57"/>
    </row>
    <row r="400" spans="11:16" ht="13" x14ac:dyDescent="0.15">
      <c r="K400" s="56"/>
      <c r="L400" s="57"/>
      <c r="M400" s="57"/>
      <c r="N400" s="57"/>
      <c r="O400" s="57"/>
      <c r="P400" s="57"/>
    </row>
    <row r="401" spans="11:16" ht="13" x14ac:dyDescent="0.15">
      <c r="K401" s="56"/>
      <c r="L401" s="57"/>
      <c r="M401" s="57"/>
      <c r="N401" s="57"/>
      <c r="O401" s="57"/>
      <c r="P401" s="57"/>
    </row>
    <row r="402" spans="11:16" ht="13" x14ac:dyDescent="0.15">
      <c r="K402" s="56"/>
      <c r="L402" s="57"/>
      <c r="M402" s="57"/>
      <c r="N402" s="57"/>
      <c r="O402" s="57"/>
      <c r="P402" s="57"/>
    </row>
    <row r="403" spans="11:16" ht="13" x14ac:dyDescent="0.15">
      <c r="K403" s="56"/>
      <c r="L403" s="57"/>
      <c r="M403" s="57"/>
      <c r="N403" s="57"/>
      <c r="O403" s="57"/>
      <c r="P403" s="57"/>
    </row>
    <row r="404" spans="11:16" ht="13" x14ac:dyDescent="0.15">
      <c r="K404" s="56"/>
      <c r="L404" s="57"/>
      <c r="M404" s="57"/>
      <c r="N404" s="57"/>
      <c r="O404" s="57"/>
      <c r="P404" s="57"/>
    </row>
    <row r="405" spans="11:16" ht="13" x14ac:dyDescent="0.15">
      <c r="K405" s="56"/>
      <c r="L405" s="57"/>
      <c r="M405" s="57"/>
      <c r="N405" s="57"/>
      <c r="O405" s="57"/>
      <c r="P405" s="57"/>
    </row>
    <row r="406" spans="11:16" ht="13" x14ac:dyDescent="0.15">
      <c r="K406" s="56"/>
      <c r="L406" s="57"/>
      <c r="M406" s="57"/>
      <c r="N406" s="57"/>
      <c r="O406" s="57"/>
      <c r="P406" s="57"/>
    </row>
    <row r="407" spans="11:16" ht="13" x14ac:dyDescent="0.15">
      <c r="K407" s="56"/>
      <c r="L407" s="57"/>
      <c r="M407" s="57"/>
      <c r="N407" s="57"/>
      <c r="O407" s="57"/>
      <c r="P407" s="57"/>
    </row>
    <row r="408" spans="11:16" ht="13" x14ac:dyDescent="0.15">
      <c r="K408" s="56"/>
      <c r="L408" s="57"/>
      <c r="M408" s="57"/>
      <c r="N408" s="57"/>
      <c r="O408" s="57"/>
      <c r="P408" s="57"/>
    </row>
    <row r="409" spans="11:16" ht="13" x14ac:dyDescent="0.15">
      <c r="K409" s="56"/>
      <c r="L409" s="57"/>
      <c r="M409" s="57"/>
      <c r="N409" s="57"/>
      <c r="O409" s="57"/>
      <c r="P409" s="57"/>
    </row>
    <row r="410" spans="11:16" ht="13" x14ac:dyDescent="0.15">
      <c r="K410" s="56"/>
      <c r="L410" s="57"/>
      <c r="M410" s="57"/>
      <c r="N410" s="57"/>
      <c r="O410" s="57"/>
      <c r="P410" s="57"/>
    </row>
    <row r="411" spans="11:16" ht="13" x14ac:dyDescent="0.15">
      <c r="K411" s="56"/>
      <c r="L411" s="57"/>
      <c r="M411" s="57"/>
      <c r="N411" s="57"/>
      <c r="O411" s="57"/>
      <c r="P411" s="57"/>
    </row>
    <row r="412" spans="11:16" ht="13" x14ac:dyDescent="0.15">
      <c r="K412" s="56"/>
      <c r="L412" s="57"/>
      <c r="M412" s="57"/>
      <c r="N412" s="57"/>
      <c r="O412" s="57"/>
      <c r="P412" s="57"/>
    </row>
    <row r="413" spans="11:16" ht="13" x14ac:dyDescent="0.15">
      <c r="K413" s="56"/>
      <c r="L413" s="57"/>
      <c r="M413" s="57"/>
      <c r="N413" s="57"/>
      <c r="O413" s="57"/>
      <c r="P413" s="57"/>
    </row>
    <row r="414" spans="11:16" ht="13" x14ac:dyDescent="0.15">
      <c r="K414" s="56"/>
      <c r="L414" s="57"/>
      <c r="M414" s="57"/>
      <c r="N414" s="57"/>
      <c r="O414" s="57"/>
      <c r="P414" s="57"/>
    </row>
    <row r="415" spans="11:16" ht="13" x14ac:dyDescent="0.15">
      <c r="K415" s="56"/>
      <c r="L415" s="57"/>
      <c r="M415" s="57"/>
      <c r="N415" s="57"/>
      <c r="O415" s="57"/>
      <c r="P415" s="57"/>
    </row>
    <row r="416" spans="11:16" ht="13" x14ac:dyDescent="0.15">
      <c r="K416" s="56"/>
      <c r="L416" s="57"/>
      <c r="M416" s="57"/>
      <c r="N416" s="57"/>
      <c r="O416" s="57"/>
      <c r="P416" s="57"/>
    </row>
    <row r="417" spans="11:16" ht="13" x14ac:dyDescent="0.15">
      <c r="K417" s="56"/>
      <c r="L417" s="57"/>
      <c r="M417" s="57"/>
      <c r="N417" s="57"/>
      <c r="O417" s="57"/>
      <c r="P417" s="57"/>
    </row>
    <row r="418" spans="11:16" ht="13" x14ac:dyDescent="0.15">
      <c r="K418" s="56"/>
      <c r="L418" s="57"/>
      <c r="M418" s="57"/>
      <c r="N418" s="57"/>
      <c r="O418" s="57"/>
      <c r="P418" s="57"/>
    </row>
    <row r="419" spans="11:16" ht="13" x14ac:dyDescent="0.15">
      <c r="K419" s="56"/>
      <c r="L419" s="57"/>
      <c r="M419" s="57"/>
      <c r="N419" s="57"/>
      <c r="O419" s="57"/>
      <c r="P419" s="57"/>
    </row>
    <row r="420" spans="11:16" ht="13" x14ac:dyDescent="0.15">
      <c r="K420" s="56"/>
      <c r="L420" s="57"/>
      <c r="M420" s="57"/>
      <c r="N420" s="57"/>
      <c r="O420" s="57"/>
      <c r="P420" s="57"/>
    </row>
    <row r="421" spans="11:16" ht="13" x14ac:dyDescent="0.15">
      <c r="K421" s="56"/>
      <c r="L421" s="57"/>
      <c r="M421" s="57"/>
      <c r="N421" s="57"/>
      <c r="O421" s="57"/>
      <c r="P421" s="57"/>
    </row>
    <row r="422" spans="11:16" ht="13" x14ac:dyDescent="0.15">
      <c r="K422" s="56"/>
      <c r="L422" s="57"/>
      <c r="M422" s="57"/>
      <c r="N422" s="57"/>
      <c r="O422" s="57"/>
      <c r="P422" s="57"/>
    </row>
    <row r="423" spans="11:16" ht="13" x14ac:dyDescent="0.15">
      <c r="K423" s="56"/>
      <c r="L423" s="57"/>
      <c r="M423" s="57"/>
      <c r="N423" s="57"/>
      <c r="O423" s="57"/>
      <c r="P423" s="57"/>
    </row>
    <row r="424" spans="11:16" ht="13" x14ac:dyDescent="0.15">
      <c r="K424" s="56"/>
      <c r="L424" s="57"/>
      <c r="M424" s="57"/>
      <c r="N424" s="57"/>
      <c r="O424" s="57"/>
      <c r="P424" s="57"/>
    </row>
    <row r="425" spans="11:16" ht="13" x14ac:dyDescent="0.15">
      <c r="K425" s="56"/>
      <c r="L425" s="57"/>
      <c r="M425" s="57"/>
      <c r="N425" s="57"/>
      <c r="O425" s="57"/>
      <c r="P425" s="57"/>
    </row>
    <row r="426" spans="11:16" ht="13" x14ac:dyDescent="0.15">
      <c r="K426" s="56"/>
      <c r="L426" s="57"/>
      <c r="M426" s="57"/>
      <c r="N426" s="57"/>
      <c r="O426" s="57"/>
      <c r="P426" s="57"/>
    </row>
    <row r="427" spans="11:16" ht="13" x14ac:dyDescent="0.15">
      <c r="K427" s="56"/>
      <c r="L427" s="57"/>
      <c r="M427" s="57"/>
      <c r="N427" s="57"/>
      <c r="O427" s="57"/>
      <c r="P427" s="57"/>
    </row>
    <row r="428" spans="11:16" ht="13" x14ac:dyDescent="0.15">
      <c r="K428" s="56"/>
      <c r="L428" s="57"/>
      <c r="M428" s="57"/>
      <c r="N428" s="57"/>
      <c r="O428" s="57"/>
      <c r="P428" s="57"/>
    </row>
    <row r="429" spans="11:16" ht="13" x14ac:dyDescent="0.15">
      <c r="K429" s="56"/>
      <c r="L429" s="57"/>
      <c r="M429" s="57"/>
      <c r="N429" s="57"/>
      <c r="O429" s="57"/>
      <c r="P429" s="57"/>
    </row>
    <row r="430" spans="11:16" ht="13" x14ac:dyDescent="0.15">
      <c r="K430" s="56"/>
      <c r="L430" s="57"/>
      <c r="M430" s="57"/>
      <c r="N430" s="57"/>
      <c r="O430" s="57"/>
      <c r="P430" s="57"/>
    </row>
    <row r="431" spans="11:16" ht="13" x14ac:dyDescent="0.15">
      <c r="K431" s="56"/>
      <c r="L431" s="57"/>
      <c r="M431" s="57"/>
      <c r="N431" s="57"/>
      <c r="O431" s="57"/>
      <c r="P431" s="57"/>
    </row>
    <row r="432" spans="11:16" ht="13" x14ac:dyDescent="0.15">
      <c r="K432" s="56"/>
      <c r="L432" s="57"/>
      <c r="M432" s="57"/>
      <c r="N432" s="57"/>
      <c r="O432" s="57"/>
      <c r="P432" s="57"/>
    </row>
    <row r="433" spans="11:16" ht="13" x14ac:dyDescent="0.15">
      <c r="K433" s="56"/>
      <c r="L433" s="57"/>
      <c r="M433" s="57"/>
      <c r="N433" s="57"/>
      <c r="O433" s="57"/>
      <c r="P433" s="57"/>
    </row>
    <row r="434" spans="11:16" ht="13" x14ac:dyDescent="0.15">
      <c r="K434" s="56"/>
      <c r="L434" s="57"/>
      <c r="M434" s="57"/>
      <c r="N434" s="57"/>
      <c r="O434" s="57"/>
      <c r="P434" s="57"/>
    </row>
    <row r="435" spans="11:16" ht="13" x14ac:dyDescent="0.15">
      <c r="K435" s="56"/>
      <c r="L435" s="57"/>
      <c r="M435" s="57"/>
      <c r="N435" s="57"/>
      <c r="O435" s="57"/>
      <c r="P435" s="57"/>
    </row>
    <row r="436" spans="11:16" ht="13" x14ac:dyDescent="0.15">
      <c r="K436" s="56"/>
      <c r="L436" s="57"/>
      <c r="M436" s="57"/>
      <c r="N436" s="57"/>
      <c r="O436" s="57"/>
      <c r="P436" s="57"/>
    </row>
    <row r="437" spans="11:16" ht="13" x14ac:dyDescent="0.15">
      <c r="K437" s="56"/>
      <c r="L437" s="57"/>
      <c r="M437" s="57"/>
      <c r="N437" s="57"/>
      <c r="O437" s="57"/>
      <c r="P437" s="57"/>
    </row>
    <row r="438" spans="11:16" ht="13" x14ac:dyDescent="0.15">
      <c r="K438" s="56"/>
      <c r="L438" s="57"/>
      <c r="M438" s="57"/>
      <c r="N438" s="57"/>
      <c r="O438" s="57"/>
      <c r="P438" s="57"/>
    </row>
    <row r="439" spans="11:16" ht="13" x14ac:dyDescent="0.15">
      <c r="K439" s="56"/>
      <c r="L439" s="57"/>
      <c r="M439" s="57"/>
      <c r="N439" s="57"/>
      <c r="O439" s="57"/>
      <c r="P439" s="57"/>
    </row>
    <row r="440" spans="11:16" ht="13" x14ac:dyDescent="0.15">
      <c r="K440" s="56"/>
      <c r="L440" s="57"/>
      <c r="M440" s="57"/>
      <c r="N440" s="57"/>
      <c r="O440" s="57"/>
      <c r="P440" s="57"/>
    </row>
    <row r="441" spans="11:16" ht="13" x14ac:dyDescent="0.15">
      <c r="K441" s="56"/>
      <c r="L441" s="57"/>
      <c r="M441" s="57"/>
      <c r="N441" s="57"/>
      <c r="O441" s="57"/>
      <c r="P441" s="57"/>
    </row>
    <row r="442" spans="11:16" ht="13" x14ac:dyDescent="0.15">
      <c r="K442" s="56"/>
      <c r="L442" s="57"/>
      <c r="M442" s="57"/>
      <c r="N442" s="57"/>
      <c r="O442" s="57"/>
      <c r="P442" s="57"/>
    </row>
    <row r="443" spans="11:16" ht="13" x14ac:dyDescent="0.15">
      <c r="K443" s="56"/>
      <c r="L443" s="57"/>
      <c r="M443" s="57"/>
      <c r="N443" s="57"/>
      <c r="O443" s="57"/>
      <c r="P443" s="57"/>
    </row>
    <row r="444" spans="11:16" ht="13" x14ac:dyDescent="0.15">
      <c r="K444" s="56"/>
      <c r="L444" s="57"/>
      <c r="M444" s="57"/>
      <c r="N444" s="57"/>
      <c r="O444" s="57"/>
      <c r="P444" s="57"/>
    </row>
    <row r="445" spans="11:16" ht="13" x14ac:dyDescent="0.15">
      <c r="K445" s="56"/>
      <c r="L445" s="57"/>
      <c r="M445" s="57"/>
      <c r="N445" s="57"/>
      <c r="O445" s="57"/>
      <c r="P445" s="57"/>
    </row>
    <row r="446" spans="11:16" ht="13" x14ac:dyDescent="0.15">
      <c r="K446" s="56"/>
      <c r="L446" s="57"/>
      <c r="M446" s="57"/>
      <c r="N446" s="57"/>
      <c r="O446" s="57"/>
      <c r="P446" s="57"/>
    </row>
    <row r="447" spans="11:16" ht="13" x14ac:dyDescent="0.15">
      <c r="K447" s="56"/>
      <c r="L447" s="57"/>
      <c r="M447" s="57"/>
      <c r="N447" s="57"/>
      <c r="O447" s="57"/>
      <c r="P447" s="57"/>
    </row>
    <row r="448" spans="11:16" ht="13" x14ac:dyDescent="0.15">
      <c r="K448" s="56"/>
      <c r="L448" s="57"/>
      <c r="M448" s="57"/>
      <c r="N448" s="57"/>
      <c r="O448" s="57"/>
      <c r="P448" s="57"/>
    </row>
    <row r="449" spans="11:16" ht="13" x14ac:dyDescent="0.15">
      <c r="K449" s="56"/>
      <c r="L449" s="57"/>
      <c r="M449" s="57"/>
      <c r="N449" s="57"/>
      <c r="O449" s="57"/>
      <c r="P449" s="57"/>
    </row>
    <row r="450" spans="11:16" ht="13" x14ac:dyDescent="0.15">
      <c r="K450" s="56"/>
      <c r="L450" s="57"/>
      <c r="M450" s="57"/>
      <c r="N450" s="57"/>
      <c r="O450" s="57"/>
      <c r="P450" s="57"/>
    </row>
    <row r="451" spans="11:16" ht="13" x14ac:dyDescent="0.15">
      <c r="K451" s="56"/>
      <c r="L451" s="57"/>
      <c r="M451" s="57"/>
      <c r="N451" s="57"/>
      <c r="O451" s="57"/>
      <c r="P451" s="57"/>
    </row>
    <row r="452" spans="11:16" ht="13" x14ac:dyDescent="0.15">
      <c r="K452" s="56"/>
      <c r="L452" s="57"/>
      <c r="M452" s="57"/>
      <c r="N452" s="57"/>
      <c r="O452" s="57"/>
      <c r="P452" s="57"/>
    </row>
    <row r="453" spans="11:16" ht="13" x14ac:dyDescent="0.15">
      <c r="K453" s="56"/>
      <c r="L453" s="57"/>
      <c r="M453" s="57"/>
      <c r="N453" s="57"/>
      <c r="O453" s="57"/>
      <c r="P453" s="57"/>
    </row>
    <row r="454" spans="11:16" ht="13" x14ac:dyDescent="0.15">
      <c r="K454" s="56"/>
      <c r="L454" s="57"/>
      <c r="M454" s="57"/>
      <c r="N454" s="57"/>
      <c r="O454" s="57"/>
      <c r="P454" s="57"/>
    </row>
    <row r="455" spans="11:16" ht="13" x14ac:dyDescent="0.15">
      <c r="K455" s="56"/>
      <c r="L455" s="57"/>
      <c r="M455" s="57"/>
      <c r="N455" s="57"/>
      <c r="O455" s="57"/>
      <c r="P455" s="57"/>
    </row>
    <row r="456" spans="11:16" ht="13" x14ac:dyDescent="0.15">
      <c r="K456" s="56"/>
      <c r="L456" s="57"/>
      <c r="M456" s="57"/>
      <c r="N456" s="57"/>
      <c r="O456" s="57"/>
      <c r="P456" s="57"/>
    </row>
    <row r="457" spans="11:16" ht="13" x14ac:dyDescent="0.15">
      <c r="K457" s="56"/>
      <c r="L457" s="57"/>
      <c r="M457" s="57"/>
      <c r="N457" s="57"/>
      <c r="O457" s="57"/>
      <c r="P457" s="57"/>
    </row>
    <row r="458" spans="11:16" ht="13" x14ac:dyDescent="0.15">
      <c r="K458" s="56"/>
      <c r="L458" s="57"/>
      <c r="M458" s="57"/>
      <c r="N458" s="57"/>
      <c r="O458" s="57"/>
      <c r="P458" s="57"/>
    </row>
    <row r="459" spans="11:16" ht="13" x14ac:dyDescent="0.15">
      <c r="K459" s="56"/>
      <c r="L459" s="57"/>
      <c r="M459" s="57"/>
      <c r="N459" s="57"/>
      <c r="O459" s="57"/>
      <c r="P459" s="57"/>
    </row>
    <row r="460" spans="11:16" ht="13" x14ac:dyDescent="0.15">
      <c r="K460" s="56"/>
      <c r="L460" s="57"/>
      <c r="M460" s="57"/>
      <c r="N460" s="57"/>
      <c r="O460" s="57"/>
      <c r="P460" s="57"/>
    </row>
    <row r="461" spans="11:16" ht="13" x14ac:dyDescent="0.15">
      <c r="K461" s="56"/>
      <c r="L461" s="57"/>
      <c r="M461" s="57"/>
      <c r="N461" s="57"/>
      <c r="O461" s="57"/>
      <c r="P461" s="57"/>
    </row>
    <row r="462" spans="11:16" ht="13" x14ac:dyDescent="0.15">
      <c r="K462" s="56"/>
      <c r="L462" s="57"/>
      <c r="M462" s="57"/>
      <c r="N462" s="57"/>
      <c r="O462" s="57"/>
      <c r="P462" s="57"/>
    </row>
    <row r="463" spans="11:16" ht="13" x14ac:dyDescent="0.15">
      <c r="K463" s="56"/>
      <c r="L463" s="57"/>
      <c r="M463" s="57"/>
      <c r="N463" s="57"/>
      <c r="O463" s="57"/>
      <c r="P463" s="57"/>
    </row>
    <row r="464" spans="11:16" ht="13" x14ac:dyDescent="0.15">
      <c r="K464" s="56"/>
      <c r="L464" s="57"/>
      <c r="M464" s="57"/>
      <c r="N464" s="57"/>
      <c r="O464" s="57"/>
      <c r="P464" s="57"/>
    </row>
    <row r="465" spans="11:16" ht="13" x14ac:dyDescent="0.15">
      <c r="K465" s="56"/>
      <c r="L465" s="57"/>
      <c r="M465" s="57"/>
      <c r="N465" s="57"/>
      <c r="O465" s="57"/>
      <c r="P465" s="57"/>
    </row>
    <row r="466" spans="11:16" ht="13" x14ac:dyDescent="0.15">
      <c r="K466" s="56"/>
      <c r="L466" s="57"/>
      <c r="M466" s="57"/>
      <c r="N466" s="57"/>
      <c r="O466" s="57"/>
      <c r="P466" s="57"/>
    </row>
    <row r="467" spans="11:16" ht="13" x14ac:dyDescent="0.15">
      <c r="K467" s="56"/>
      <c r="L467" s="57"/>
      <c r="M467" s="57"/>
      <c r="N467" s="57"/>
      <c r="O467" s="57"/>
      <c r="P467" s="57"/>
    </row>
    <row r="468" spans="11:16" ht="13" x14ac:dyDescent="0.15">
      <c r="K468" s="56"/>
      <c r="L468" s="57"/>
      <c r="M468" s="57"/>
      <c r="N468" s="57"/>
      <c r="O468" s="57"/>
      <c r="P468" s="57"/>
    </row>
    <row r="469" spans="11:16" ht="13" x14ac:dyDescent="0.15">
      <c r="K469" s="56"/>
      <c r="L469" s="57"/>
      <c r="M469" s="57"/>
      <c r="N469" s="57"/>
      <c r="O469" s="57"/>
      <c r="P469" s="57"/>
    </row>
    <row r="470" spans="11:16" ht="13" x14ac:dyDescent="0.15">
      <c r="K470" s="56"/>
      <c r="L470" s="57"/>
      <c r="M470" s="57"/>
      <c r="N470" s="57"/>
      <c r="O470" s="57"/>
      <c r="P470" s="57"/>
    </row>
    <row r="471" spans="11:16" ht="13" x14ac:dyDescent="0.15">
      <c r="K471" s="56"/>
      <c r="L471" s="57"/>
      <c r="M471" s="57"/>
      <c r="N471" s="57"/>
      <c r="O471" s="57"/>
      <c r="P471" s="57"/>
    </row>
    <row r="472" spans="11:16" ht="13" x14ac:dyDescent="0.15">
      <c r="K472" s="56"/>
      <c r="L472" s="57"/>
      <c r="M472" s="57"/>
      <c r="N472" s="57"/>
      <c r="O472" s="57"/>
      <c r="P472" s="57"/>
    </row>
    <row r="473" spans="11:16" ht="13" x14ac:dyDescent="0.15">
      <c r="K473" s="56"/>
      <c r="L473" s="57"/>
      <c r="M473" s="57"/>
      <c r="N473" s="57"/>
      <c r="O473" s="57"/>
      <c r="P473" s="57"/>
    </row>
    <row r="474" spans="11:16" ht="13" x14ac:dyDescent="0.15">
      <c r="K474" s="56"/>
      <c r="L474" s="57"/>
      <c r="M474" s="57"/>
      <c r="N474" s="57"/>
      <c r="O474" s="57"/>
      <c r="P474" s="57"/>
    </row>
    <row r="475" spans="11:16" ht="13" x14ac:dyDescent="0.15">
      <c r="K475" s="56"/>
      <c r="L475" s="57"/>
      <c r="M475" s="57"/>
      <c r="N475" s="57"/>
      <c r="O475" s="57"/>
      <c r="P475" s="57"/>
    </row>
    <row r="476" spans="11:16" ht="13" x14ac:dyDescent="0.15">
      <c r="K476" s="56"/>
      <c r="L476" s="57"/>
      <c r="M476" s="57"/>
      <c r="N476" s="57"/>
      <c r="O476" s="57"/>
      <c r="P476" s="57"/>
    </row>
    <row r="477" spans="11:16" ht="13" x14ac:dyDescent="0.15">
      <c r="K477" s="56"/>
      <c r="L477" s="57"/>
      <c r="M477" s="57"/>
      <c r="N477" s="57"/>
      <c r="O477" s="57"/>
      <c r="P477" s="57"/>
    </row>
    <row r="478" spans="11:16" ht="13" x14ac:dyDescent="0.15">
      <c r="K478" s="56"/>
      <c r="L478" s="57"/>
      <c r="M478" s="57"/>
      <c r="N478" s="57"/>
      <c r="O478" s="57"/>
      <c r="P478" s="57"/>
    </row>
    <row r="479" spans="11:16" ht="13" x14ac:dyDescent="0.15">
      <c r="K479" s="56"/>
      <c r="L479" s="57"/>
      <c r="M479" s="57"/>
      <c r="N479" s="57"/>
      <c r="O479" s="57"/>
      <c r="P479" s="57"/>
    </row>
    <row r="480" spans="11:16" ht="13" x14ac:dyDescent="0.15">
      <c r="K480" s="56"/>
      <c r="L480" s="57"/>
      <c r="M480" s="57"/>
      <c r="N480" s="57"/>
      <c r="O480" s="57"/>
      <c r="P480" s="57"/>
    </row>
    <row r="481" spans="11:16" ht="13" x14ac:dyDescent="0.15">
      <c r="K481" s="56"/>
      <c r="L481" s="57"/>
      <c r="M481" s="57"/>
      <c r="N481" s="57"/>
      <c r="O481" s="57"/>
      <c r="P481" s="57"/>
    </row>
    <row r="482" spans="11:16" ht="13" x14ac:dyDescent="0.15">
      <c r="K482" s="56"/>
      <c r="L482" s="57"/>
      <c r="M482" s="57"/>
      <c r="N482" s="57"/>
      <c r="O482" s="57"/>
      <c r="P482" s="57"/>
    </row>
    <row r="483" spans="11:16" ht="13" x14ac:dyDescent="0.15">
      <c r="K483" s="56"/>
      <c r="L483" s="57"/>
      <c r="M483" s="57"/>
      <c r="N483" s="57"/>
      <c r="O483" s="57"/>
      <c r="P483" s="57"/>
    </row>
    <row r="484" spans="11:16" ht="13" x14ac:dyDescent="0.15">
      <c r="K484" s="56"/>
      <c r="L484" s="57"/>
      <c r="M484" s="57"/>
      <c r="N484" s="57"/>
      <c r="O484" s="57"/>
      <c r="P484" s="57"/>
    </row>
    <row r="485" spans="11:16" ht="13" x14ac:dyDescent="0.15">
      <c r="K485" s="56"/>
      <c r="L485" s="57"/>
      <c r="M485" s="57"/>
      <c r="N485" s="57"/>
      <c r="O485" s="57"/>
      <c r="P485" s="57"/>
    </row>
    <row r="486" spans="11:16" ht="13" x14ac:dyDescent="0.15">
      <c r="K486" s="56"/>
      <c r="L486" s="57"/>
      <c r="M486" s="57"/>
      <c r="N486" s="57"/>
      <c r="O486" s="57"/>
      <c r="P486" s="57"/>
    </row>
    <row r="487" spans="11:16" ht="13" x14ac:dyDescent="0.15">
      <c r="K487" s="56"/>
      <c r="L487" s="57"/>
      <c r="M487" s="57"/>
      <c r="N487" s="57"/>
      <c r="O487" s="57"/>
      <c r="P487" s="57"/>
    </row>
    <row r="488" spans="11:16" ht="13" x14ac:dyDescent="0.15">
      <c r="K488" s="56"/>
      <c r="L488" s="57"/>
      <c r="M488" s="57"/>
      <c r="N488" s="57"/>
      <c r="O488" s="57"/>
      <c r="P488" s="57"/>
    </row>
    <row r="489" spans="11:16" ht="13" x14ac:dyDescent="0.15">
      <c r="K489" s="56"/>
      <c r="L489" s="57"/>
      <c r="M489" s="57"/>
      <c r="N489" s="57"/>
      <c r="O489" s="57"/>
      <c r="P489" s="57"/>
    </row>
    <row r="490" spans="11:16" ht="13" x14ac:dyDescent="0.15">
      <c r="K490" s="56"/>
      <c r="L490" s="57"/>
      <c r="M490" s="57"/>
      <c r="N490" s="57"/>
      <c r="O490" s="57"/>
      <c r="P490" s="57"/>
    </row>
    <row r="491" spans="11:16" ht="13" x14ac:dyDescent="0.15">
      <c r="K491" s="56"/>
      <c r="L491" s="57"/>
      <c r="M491" s="57"/>
      <c r="N491" s="57"/>
      <c r="O491" s="57"/>
      <c r="P491" s="57"/>
    </row>
    <row r="492" spans="11:16" ht="13" x14ac:dyDescent="0.15">
      <c r="K492" s="56"/>
      <c r="L492" s="57"/>
      <c r="M492" s="57"/>
      <c r="N492" s="57"/>
      <c r="O492" s="57"/>
      <c r="P492" s="57"/>
    </row>
    <row r="493" spans="11:16" ht="13" x14ac:dyDescent="0.15">
      <c r="K493" s="56"/>
      <c r="L493" s="57"/>
      <c r="M493" s="57"/>
      <c r="N493" s="57"/>
      <c r="O493" s="57"/>
      <c r="P493" s="57"/>
    </row>
    <row r="494" spans="11:16" ht="13" x14ac:dyDescent="0.15">
      <c r="K494" s="56"/>
      <c r="L494" s="57"/>
      <c r="M494" s="57"/>
      <c r="N494" s="57"/>
      <c r="O494" s="57"/>
      <c r="P494" s="57"/>
    </row>
    <row r="495" spans="11:16" ht="13" x14ac:dyDescent="0.15">
      <c r="K495" s="56"/>
      <c r="L495" s="57"/>
      <c r="M495" s="57"/>
      <c r="N495" s="57"/>
      <c r="O495" s="57"/>
      <c r="P495" s="57"/>
    </row>
    <row r="496" spans="11:16" ht="13" x14ac:dyDescent="0.15">
      <c r="K496" s="56"/>
      <c r="L496" s="57"/>
      <c r="M496" s="57"/>
      <c r="N496" s="57"/>
      <c r="O496" s="57"/>
      <c r="P496" s="57"/>
    </row>
    <row r="497" spans="11:16" ht="13" x14ac:dyDescent="0.15">
      <c r="K497" s="56"/>
      <c r="L497" s="57"/>
      <c r="M497" s="57"/>
      <c r="N497" s="57"/>
      <c r="O497" s="57"/>
      <c r="P497" s="57"/>
    </row>
    <row r="498" spans="11:16" ht="13" x14ac:dyDescent="0.15">
      <c r="K498" s="56"/>
      <c r="L498" s="57"/>
      <c r="M498" s="57"/>
      <c r="N498" s="57"/>
      <c r="O498" s="57"/>
      <c r="P498" s="57"/>
    </row>
    <row r="499" spans="11:16" ht="13" x14ac:dyDescent="0.15">
      <c r="K499" s="56"/>
      <c r="L499" s="57"/>
      <c r="M499" s="57"/>
      <c r="N499" s="57"/>
      <c r="O499" s="57"/>
      <c r="P499" s="57"/>
    </row>
    <row r="500" spans="11:16" ht="13" x14ac:dyDescent="0.15">
      <c r="K500" s="56"/>
      <c r="L500" s="57"/>
      <c r="M500" s="57"/>
      <c r="N500" s="57"/>
      <c r="O500" s="57"/>
      <c r="P500" s="57"/>
    </row>
    <row r="501" spans="11:16" ht="13" x14ac:dyDescent="0.15">
      <c r="K501" s="56"/>
      <c r="L501" s="57"/>
      <c r="M501" s="57"/>
      <c r="N501" s="57"/>
      <c r="O501" s="57"/>
      <c r="P501" s="57"/>
    </row>
    <row r="502" spans="11:16" ht="13" x14ac:dyDescent="0.15">
      <c r="K502" s="56"/>
      <c r="L502" s="57"/>
      <c r="M502" s="57"/>
      <c r="N502" s="57"/>
      <c r="O502" s="57"/>
      <c r="P502" s="57"/>
    </row>
    <row r="503" spans="11:16" ht="13" x14ac:dyDescent="0.15">
      <c r="K503" s="56"/>
      <c r="L503" s="57"/>
      <c r="M503" s="57"/>
      <c r="N503" s="57"/>
      <c r="O503" s="57"/>
      <c r="P503" s="57"/>
    </row>
    <row r="504" spans="11:16" ht="13" x14ac:dyDescent="0.15">
      <c r="K504" s="56"/>
      <c r="L504" s="57"/>
      <c r="M504" s="57"/>
      <c r="N504" s="57"/>
      <c r="O504" s="57"/>
      <c r="P504" s="57"/>
    </row>
    <row r="505" spans="11:16" ht="13" x14ac:dyDescent="0.15">
      <c r="K505" s="56"/>
      <c r="L505" s="57"/>
      <c r="M505" s="57"/>
      <c r="N505" s="57"/>
      <c r="O505" s="57"/>
      <c r="P505" s="57"/>
    </row>
    <row r="506" spans="11:16" ht="13" x14ac:dyDescent="0.15">
      <c r="K506" s="56"/>
      <c r="L506" s="57"/>
      <c r="M506" s="57"/>
      <c r="N506" s="57"/>
      <c r="O506" s="57"/>
      <c r="P506" s="57"/>
    </row>
    <row r="507" spans="11:16" ht="13" x14ac:dyDescent="0.15">
      <c r="K507" s="56"/>
      <c r="L507" s="57"/>
      <c r="M507" s="57"/>
      <c r="N507" s="57"/>
      <c r="O507" s="57"/>
      <c r="P507" s="57"/>
    </row>
    <row r="508" spans="11:16" ht="13" x14ac:dyDescent="0.15">
      <c r="K508" s="56"/>
      <c r="L508" s="57"/>
      <c r="M508" s="57"/>
      <c r="N508" s="57"/>
      <c r="O508" s="57"/>
      <c r="P508" s="57"/>
    </row>
    <row r="509" spans="11:16" ht="13" x14ac:dyDescent="0.15">
      <c r="K509" s="56"/>
      <c r="L509" s="57"/>
      <c r="M509" s="57"/>
      <c r="N509" s="57"/>
      <c r="O509" s="57"/>
      <c r="P509" s="57"/>
    </row>
    <row r="510" spans="11:16" ht="13" x14ac:dyDescent="0.15">
      <c r="K510" s="56"/>
      <c r="L510" s="57"/>
      <c r="M510" s="57"/>
      <c r="N510" s="57"/>
      <c r="O510" s="57"/>
      <c r="P510" s="57"/>
    </row>
    <row r="511" spans="11:16" ht="13" x14ac:dyDescent="0.15">
      <c r="K511" s="56"/>
      <c r="L511" s="57"/>
      <c r="M511" s="57"/>
      <c r="N511" s="57"/>
      <c r="O511" s="57"/>
      <c r="P511" s="57"/>
    </row>
    <row r="512" spans="11:16" ht="13" x14ac:dyDescent="0.15">
      <c r="K512" s="56"/>
      <c r="L512" s="57"/>
      <c r="M512" s="57"/>
      <c r="N512" s="57"/>
      <c r="O512" s="57"/>
      <c r="P512" s="57"/>
    </row>
    <row r="513" spans="11:16" ht="13" x14ac:dyDescent="0.15">
      <c r="K513" s="56"/>
      <c r="L513" s="57"/>
      <c r="M513" s="57"/>
      <c r="N513" s="57"/>
      <c r="O513" s="57"/>
      <c r="P513" s="57"/>
    </row>
    <row r="514" spans="11:16" ht="13" x14ac:dyDescent="0.15">
      <c r="K514" s="56"/>
      <c r="L514" s="57"/>
      <c r="M514" s="57"/>
      <c r="N514" s="57"/>
      <c r="O514" s="57"/>
      <c r="P514" s="57"/>
    </row>
    <row r="515" spans="11:16" ht="13" x14ac:dyDescent="0.15">
      <c r="K515" s="56"/>
      <c r="L515" s="57"/>
      <c r="M515" s="57"/>
      <c r="N515" s="57"/>
      <c r="O515" s="57"/>
      <c r="P515" s="57"/>
    </row>
    <row r="516" spans="11:16" ht="13" x14ac:dyDescent="0.15">
      <c r="K516" s="56"/>
      <c r="L516" s="57"/>
      <c r="M516" s="57"/>
      <c r="N516" s="57"/>
      <c r="O516" s="57"/>
      <c r="P516" s="57"/>
    </row>
    <row r="517" spans="11:16" ht="13" x14ac:dyDescent="0.15">
      <c r="K517" s="56"/>
      <c r="L517" s="57"/>
      <c r="M517" s="57"/>
      <c r="N517" s="57"/>
      <c r="O517" s="57"/>
      <c r="P517" s="57"/>
    </row>
    <row r="518" spans="11:16" ht="13" x14ac:dyDescent="0.15">
      <c r="K518" s="56"/>
      <c r="L518" s="57"/>
      <c r="M518" s="57"/>
      <c r="N518" s="57"/>
      <c r="O518" s="57"/>
      <c r="P518" s="57"/>
    </row>
    <row r="519" spans="11:16" ht="13" x14ac:dyDescent="0.15">
      <c r="K519" s="56"/>
      <c r="L519" s="57"/>
      <c r="M519" s="57"/>
      <c r="N519" s="57"/>
      <c r="O519" s="57"/>
      <c r="P519" s="57"/>
    </row>
    <row r="520" spans="11:16" ht="13" x14ac:dyDescent="0.15">
      <c r="K520" s="56"/>
      <c r="L520" s="57"/>
      <c r="M520" s="57"/>
      <c r="N520" s="57"/>
      <c r="O520" s="57"/>
      <c r="P520" s="57"/>
    </row>
    <row r="521" spans="11:16" ht="13" x14ac:dyDescent="0.15">
      <c r="K521" s="56"/>
      <c r="L521" s="57"/>
      <c r="M521" s="57"/>
      <c r="N521" s="57"/>
      <c r="O521" s="57"/>
      <c r="P521" s="57"/>
    </row>
    <row r="522" spans="11:16" ht="13" x14ac:dyDescent="0.15">
      <c r="K522" s="56"/>
      <c r="L522" s="57"/>
      <c r="M522" s="57"/>
      <c r="N522" s="57"/>
      <c r="O522" s="57"/>
      <c r="P522" s="57"/>
    </row>
    <row r="523" spans="11:16" ht="13" x14ac:dyDescent="0.15">
      <c r="K523" s="56"/>
      <c r="L523" s="57"/>
      <c r="M523" s="57"/>
      <c r="N523" s="57"/>
      <c r="O523" s="57"/>
      <c r="P523" s="57"/>
    </row>
    <row r="524" spans="11:16" ht="13" x14ac:dyDescent="0.15">
      <c r="K524" s="56"/>
      <c r="L524" s="57"/>
      <c r="M524" s="57"/>
      <c r="N524" s="57"/>
      <c r="O524" s="57"/>
      <c r="P524" s="57"/>
    </row>
    <row r="525" spans="11:16" ht="13" x14ac:dyDescent="0.15">
      <c r="K525" s="56"/>
      <c r="L525" s="57"/>
      <c r="M525" s="57"/>
      <c r="N525" s="57"/>
      <c r="O525" s="57"/>
      <c r="P525" s="57"/>
    </row>
    <row r="526" spans="11:16" ht="13" x14ac:dyDescent="0.15">
      <c r="K526" s="56"/>
      <c r="L526" s="57"/>
      <c r="M526" s="57"/>
      <c r="N526" s="57"/>
      <c r="O526" s="57"/>
      <c r="P526" s="57"/>
    </row>
    <row r="527" spans="11:16" ht="13" x14ac:dyDescent="0.15">
      <c r="K527" s="56"/>
      <c r="L527" s="57"/>
      <c r="M527" s="57"/>
      <c r="N527" s="57"/>
      <c r="O527" s="57"/>
      <c r="P527" s="57"/>
    </row>
    <row r="528" spans="11:16" ht="13" x14ac:dyDescent="0.15">
      <c r="K528" s="56"/>
      <c r="L528" s="57"/>
      <c r="M528" s="57"/>
      <c r="N528" s="57"/>
      <c r="O528" s="57"/>
      <c r="P528" s="57"/>
    </row>
    <row r="529" spans="11:16" ht="13" x14ac:dyDescent="0.15">
      <c r="K529" s="56"/>
      <c r="L529" s="57"/>
      <c r="M529" s="57"/>
      <c r="N529" s="57"/>
      <c r="O529" s="57"/>
      <c r="P529" s="57"/>
    </row>
    <row r="530" spans="11:16" ht="13" x14ac:dyDescent="0.15">
      <c r="K530" s="56"/>
      <c r="L530" s="57"/>
      <c r="M530" s="57"/>
      <c r="N530" s="57"/>
      <c r="O530" s="57"/>
      <c r="P530" s="57"/>
    </row>
    <row r="531" spans="11:16" ht="13" x14ac:dyDescent="0.15">
      <c r="K531" s="56"/>
      <c r="L531" s="57"/>
      <c r="M531" s="57"/>
      <c r="N531" s="57"/>
      <c r="O531" s="57"/>
      <c r="P531" s="57"/>
    </row>
    <row r="532" spans="11:16" ht="13" x14ac:dyDescent="0.15">
      <c r="K532" s="56"/>
      <c r="L532" s="57"/>
      <c r="M532" s="57"/>
      <c r="N532" s="57"/>
      <c r="O532" s="57"/>
      <c r="P532" s="57"/>
    </row>
    <row r="533" spans="11:16" ht="13" x14ac:dyDescent="0.15">
      <c r="K533" s="56"/>
      <c r="L533" s="57"/>
      <c r="M533" s="57"/>
      <c r="N533" s="57"/>
      <c r="O533" s="57"/>
      <c r="P533" s="57"/>
    </row>
    <row r="534" spans="11:16" ht="13" x14ac:dyDescent="0.15">
      <c r="K534" s="56"/>
      <c r="L534" s="57"/>
      <c r="M534" s="57"/>
      <c r="N534" s="57"/>
      <c r="O534" s="57"/>
      <c r="P534" s="57"/>
    </row>
    <row r="535" spans="11:16" ht="13" x14ac:dyDescent="0.15">
      <c r="K535" s="56"/>
      <c r="L535" s="57"/>
      <c r="M535" s="57"/>
      <c r="N535" s="57"/>
      <c r="O535" s="57"/>
      <c r="P535" s="57"/>
    </row>
    <row r="536" spans="11:16" ht="13" x14ac:dyDescent="0.15">
      <c r="K536" s="56"/>
      <c r="L536" s="57"/>
      <c r="M536" s="57"/>
      <c r="N536" s="57"/>
      <c r="O536" s="57"/>
      <c r="P536" s="57"/>
    </row>
    <row r="537" spans="11:16" ht="13" x14ac:dyDescent="0.15">
      <c r="K537" s="56"/>
      <c r="L537" s="57"/>
      <c r="M537" s="57"/>
      <c r="N537" s="57"/>
      <c r="O537" s="57"/>
      <c r="P537" s="57"/>
    </row>
    <row r="538" spans="11:16" ht="13" x14ac:dyDescent="0.15">
      <c r="K538" s="56"/>
      <c r="L538" s="57"/>
      <c r="M538" s="57"/>
      <c r="N538" s="57"/>
      <c r="O538" s="57"/>
      <c r="P538" s="57"/>
    </row>
    <row r="539" spans="11:16" ht="13" x14ac:dyDescent="0.15">
      <c r="K539" s="56"/>
      <c r="L539" s="57"/>
      <c r="M539" s="57"/>
      <c r="N539" s="57"/>
      <c r="O539" s="57"/>
      <c r="P539" s="57"/>
    </row>
    <row r="540" spans="11:16" ht="13" x14ac:dyDescent="0.15">
      <c r="K540" s="56"/>
      <c r="L540" s="57"/>
      <c r="M540" s="57"/>
      <c r="N540" s="57"/>
      <c r="O540" s="57"/>
      <c r="P540" s="57"/>
    </row>
    <row r="541" spans="11:16" ht="13" x14ac:dyDescent="0.15">
      <c r="K541" s="56"/>
      <c r="L541" s="57"/>
      <c r="M541" s="57"/>
      <c r="N541" s="57"/>
      <c r="O541" s="57"/>
      <c r="P541" s="57"/>
    </row>
    <row r="542" spans="11:16" ht="13" x14ac:dyDescent="0.15">
      <c r="K542" s="56"/>
      <c r="L542" s="57"/>
      <c r="M542" s="57"/>
      <c r="N542" s="57"/>
      <c r="O542" s="57"/>
      <c r="P542" s="57"/>
    </row>
    <row r="543" spans="11:16" ht="13" x14ac:dyDescent="0.15">
      <c r="K543" s="56"/>
      <c r="L543" s="57"/>
      <c r="M543" s="57"/>
      <c r="N543" s="57"/>
      <c r="O543" s="57"/>
      <c r="P543" s="57"/>
    </row>
    <row r="544" spans="11:16" ht="13" x14ac:dyDescent="0.15">
      <c r="K544" s="56"/>
      <c r="L544" s="57"/>
      <c r="M544" s="57"/>
      <c r="N544" s="57"/>
      <c r="O544" s="57"/>
      <c r="P544" s="57"/>
    </row>
    <row r="545" spans="11:16" ht="13" x14ac:dyDescent="0.15">
      <c r="K545" s="56"/>
      <c r="L545" s="57"/>
      <c r="M545" s="57"/>
      <c r="N545" s="57"/>
      <c r="O545" s="57"/>
      <c r="P545" s="57"/>
    </row>
    <row r="546" spans="11:16" ht="13" x14ac:dyDescent="0.15">
      <c r="K546" s="56"/>
      <c r="L546" s="57"/>
      <c r="M546" s="57"/>
      <c r="N546" s="57"/>
      <c r="O546" s="57"/>
      <c r="P546" s="57"/>
    </row>
    <row r="547" spans="11:16" ht="13" x14ac:dyDescent="0.15">
      <c r="K547" s="56"/>
      <c r="L547" s="57"/>
      <c r="M547" s="57"/>
      <c r="N547" s="57"/>
      <c r="O547" s="57"/>
      <c r="P547" s="57"/>
    </row>
    <row r="548" spans="11:16" ht="13" x14ac:dyDescent="0.15">
      <c r="K548" s="56"/>
      <c r="L548" s="57"/>
      <c r="M548" s="57"/>
      <c r="N548" s="57"/>
      <c r="O548" s="57"/>
      <c r="P548" s="57"/>
    </row>
    <row r="549" spans="11:16" ht="13" x14ac:dyDescent="0.15">
      <c r="K549" s="56"/>
      <c r="L549" s="57"/>
      <c r="M549" s="57"/>
      <c r="N549" s="57"/>
      <c r="O549" s="57"/>
      <c r="P549" s="57"/>
    </row>
    <row r="550" spans="11:16" ht="13" x14ac:dyDescent="0.15">
      <c r="K550" s="56"/>
      <c r="L550" s="57"/>
      <c r="M550" s="57"/>
      <c r="N550" s="57"/>
      <c r="O550" s="57"/>
      <c r="P550" s="57"/>
    </row>
    <row r="551" spans="11:16" ht="13" x14ac:dyDescent="0.15">
      <c r="K551" s="56"/>
      <c r="L551" s="57"/>
      <c r="M551" s="57"/>
      <c r="N551" s="57"/>
      <c r="O551" s="57"/>
      <c r="P551" s="57"/>
    </row>
    <row r="552" spans="11:16" ht="13" x14ac:dyDescent="0.15">
      <c r="K552" s="56"/>
      <c r="L552" s="57"/>
      <c r="M552" s="57"/>
      <c r="N552" s="57"/>
      <c r="O552" s="57"/>
      <c r="P552" s="57"/>
    </row>
    <row r="553" spans="11:16" ht="13" x14ac:dyDescent="0.15">
      <c r="K553" s="56"/>
      <c r="L553" s="57"/>
      <c r="M553" s="57"/>
      <c r="N553" s="57"/>
      <c r="O553" s="57"/>
      <c r="P553" s="57"/>
    </row>
    <row r="554" spans="11:16" ht="13" x14ac:dyDescent="0.15">
      <c r="K554" s="56"/>
      <c r="L554" s="57"/>
      <c r="M554" s="57"/>
      <c r="N554" s="57"/>
      <c r="O554" s="57"/>
      <c r="P554" s="57"/>
    </row>
    <row r="555" spans="11:16" ht="13" x14ac:dyDescent="0.15">
      <c r="K555" s="56"/>
      <c r="L555" s="57"/>
      <c r="M555" s="57"/>
      <c r="N555" s="57"/>
      <c r="O555" s="57"/>
      <c r="P555" s="57"/>
    </row>
    <row r="556" spans="11:16" ht="13" x14ac:dyDescent="0.15">
      <c r="K556" s="56"/>
      <c r="L556" s="57"/>
      <c r="M556" s="57"/>
      <c r="N556" s="57"/>
      <c r="O556" s="57"/>
      <c r="P556" s="57"/>
    </row>
    <row r="557" spans="11:16" ht="13" x14ac:dyDescent="0.15">
      <c r="K557" s="56"/>
      <c r="L557" s="57"/>
      <c r="M557" s="57"/>
      <c r="N557" s="57"/>
      <c r="O557" s="57"/>
      <c r="P557" s="57"/>
    </row>
    <row r="558" spans="11:16" ht="13" x14ac:dyDescent="0.15">
      <c r="K558" s="56"/>
      <c r="L558" s="57"/>
      <c r="M558" s="57"/>
      <c r="N558" s="57"/>
      <c r="O558" s="57"/>
      <c r="P558" s="57"/>
    </row>
    <row r="559" spans="11:16" ht="13" x14ac:dyDescent="0.15">
      <c r="K559" s="56"/>
      <c r="L559" s="57"/>
      <c r="M559" s="57"/>
      <c r="N559" s="57"/>
      <c r="O559" s="57"/>
      <c r="P559" s="57"/>
    </row>
    <row r="560" spans="11:16" ht="13" x14ac:dyDescent="0.15">
      <c r="K560" s="56"/>
      <c r="L560" s="57"/>
      <c r="M560" s="57"/>
      <c r="N560" s="57"/>
      <c r="O560" s="57"/>
      <c r="P560" s="57"/>
    </row>
    <row r="561" spans="11:16" ht="13" x14ac:dyDescent="0.15">
      <c r="K561" s="56"/>
      <c r="L561" s="57"/>
      <c r="M561" s="57"/>
      <c r="N561" s="57"/>
      <c r="O561" s="57"/>
      <c r="P561" s="57"/>
    </row>
    <row r="562" spans="11:16" ht="13" x14ac:dyDescent="0.15">
      <c r="K562" s="56"/>
      <c r="L562" s="57"/>
      <c r="M562" s="57"/>
      <c r="N562" s="57"/>
      <c r="O562" s="57"/>
      <c r="P562" s="57"/>
    </row>
    <row r="563" spans="11:16" ht="13" x14ac:dyDescent="0.15">
      <c r="K563" s="56"/>
      <c r="L563" s="57"/>
      <c r="M563" s="57"/>
      <c r="N563" s="57"/>
      <c r="O563" s="57"/>
      <c r="P563" s="57"/>
    </row>
    <row r="564" spans="11:16" ht="13" x14ac:dyDescent="0.15">
      <c r="K564" s="56"/>
      <c r="L564" s="57"/>
      <c r="M564" s="57"/>
      <c r="N564" s="57"/>
      <c r="O564" s="57"/>
      <c r="P564" s="57"/>
    </row>
    <row r="565" spans="11:16" ht="13" x14ac:dyDescent="0.15">
      <c r="K565" s="56"/>
      <c r="L565" s="57"/>
      <c r="M565" s="57"/>
      <c r="N565" s="57"/>
      <c r="O565" s="57"/>
      <c r="P565" s="57"/>
    </row>
    <row r="566" spans="11:16" ht="13" x14ac:dyDescent="0.15">
      <c r="K566" s="56"/>
      <c r="L566" s="57"/>
      <c r="M566" s="57"/>
      <c r="N566" s="57"/>
      <c r="O566" s="57"/>
      <c r="P566" s="57"/>
    </row>
    <row r="567" spans="11:16" ht="13" x14ac:dyDescent="0.15">
      <c r="K567" s="56"/>
      <c r="L567" s="57"/>
      <c r="M567" s="57"/>
      <c r="N567" s="57"/>
      <c r="O567" s="57"/>
      <c r="P567" s="57"/>
    </row>
    <row r="568" spans="11:16" ht="13" x14ac:dyDescent="0.15">
      <c r="K568" s="56"/>
      <c r="L568" s="57"/>
      <c r="M568" s="57"/>
      <c r="N568" s="57"/>
      <c r="O568" s="57"/>
      <c r="P568" s="57"/>
    </row>
    <row r="569" spans="11:16" ht="13" x14ac:dyDescent="0.15">
      <c r="K569" s="56"/>
      <c r="L569" s="57"/>
      <c r="M569" s="57"/>
      <c r="N569" s="57"/>
      <c r="O569" s="57"/>
      <c r="P569" s="57"/>
    </row>
    <row r="570" spans="11:16" ht="13" x14ac:dyDescent="0.15">
      <c r="K570" s="56"/>
      <c r="L570" s="57"/>
      <c r="M570" s="57"/>
      <c r="N570" s="57"/>
      <c r="O570" s="57"/>
      <c r="P570" s="57"/>
    </row>
    <row r="571" spans="11:16" ht="13" x14ac:dyDescent="0.15">
      <c r="K571" s="56"/>
      <c r="L571" s="57"/>
      <c r="M571" s="57"/>
      <c r="N571" s="57"/>
      <c r="O571" s="57"/>
      <c r="P571" s="57"/>
    </row>
    <row r="572" spans="11:16" ht="13" x14ac:dyDescent="0.15">
      <c r="K572" s="56"/>
      <c r="L572" s="57"/>
      <c r="M572" s="57"/>
      <c r="N572" s="57"/>
      <c r="O572" s="57"/>
      <c r="P572" s="57"/>
    </row>
    <row r="573" spans="11:16" ht="13" x14ac:dyDescent="0.15">
      <c r="K573" s="56"/>
      <c r="L573" s="57"/>
      <c r="M573" s="57"/>
      <c r="N573" s="57"/>
      <c r="O573" s="57"/>
      <c r="P573" s="57"/>
    </row>
    <row r="574" spans="11:16" ht="13" x14ac:dyDescent="0.15">
      <c r="K574" s="56"/>
      <c r="L574" s="57"/>
      <c r="M574" s="57"/>
      <c r="N574" s="57"/>
      <c r="O574" s="57"/>
      <c r="P574" s="57"/>
    </row>
    <row r="575" spans="11:16" ht="13" x14ac:dyDescent="0.15">
      <c r="K575" s="56"/>
      <c r="L575" s="57"/>
      <c r="M575" s="57"/>
      <c r="N575" s="57"/>
      <c r="O575" s="57"/>
      <c r="P575" s="57"/>
    </row>
    <row r="576" spans="11:16" ht="13" x14ac:dyDescent="0.15">
      <c r="K576" s="56"/>
      <c r="L576" s="57"/>
      <c r="M576" s="57"/>
      <c r="N576" s="57"/>
      <c r="O576" s="57"/>
      <c r="P576" s="57"/>
    </row>
    <row r="577" spans="11:16" ht="13" x14ac:dyDescent="0.15">
      <c r="K577" s="56"/>
      <c r="L577" s="57"/>
      <c r="M577" s="57"/>
      <c r="N577" s="57"/>
      <c r="O577" s="57"/>
      <c r="P577" s="57"/>
    </row>
    <row r="578" spans="11:16" ht="13" x14ac:dyDescent="0.15">
      <c r="K578" s="56"/>
      <c r="L578" s="57"/>
      <c r="M578" s="57"/>
      <c r="N578" s="57"/>
      <c r="O578" s="57"/>
      <c r="P578" s="57"/>
    </row>
    <row r="579" spans="11:16" ht="13" x14ac:dyDescent="0.15">
      <c r="K579" s="56"/>
      <c r="L579" s="57"/>
      <c r="M579" s="57"/>
      <c r="N579" s="57"/>
      <c r="O579" s="57"/>
      <c r="P579" s="57"/>
    </row>
    <row r="580" spans="11:16" ht="13" x14ac:dyDescent="0.15">
      <c r="K580" s="56"/>
      <c r="L580" s="57"/>
      <c r="M580" s="57"/>
      <c r="N580" s="57"/>
      <c r="O580" s="57"/>
      <c r="P580" s="57"/>
    </row>
    <row r="581" spans="11:16" ht="13" x14ac:dyDescent="0.15">
      <c r="K581" s="56"/>
      <c r="L581" s="57"/>
      <c r="M581" s="57"/>
      <c r="N581" s="57"/>
      <c r="O581" s="57"/>
      <c r="P581" s="57"/>
    </row>
    <row r="582" spans="11:16" ht="13" x14ac:dyDescent="0.15">
      <c r="K582" s="56"/>
      <c r="L582" s="57"/>
      <c r="M582" s="57"/>
      <c r="N582" s="57"/>
      <c r="O582" s="57"/>
      <c r="P582" s="57"/>
    </row>
    <row r="583" spans="11:16" ht="13" x14ac:dyDescent="0.15">
      <c r="K583" s="56"/>
      <c r="L583" s="57"/>
      <c r="M583" s="57"/>
      <c r="N583" s="57"/>
      <c r="O583" s="57"/>
      <c r="P583" s="57"/>
    </row>
    <row r="584" spans="11:16" ht="13" x14ac:dyDescent="0.15">
      <c r="K584" s="56"/>
      <c r="L584" s="57"/>
      <c r="M584" s="57"/>
      <c r="N584" s="57"/>
      <c r="O584" s="57"/>
      <c r="P584" s="57"/>
    </row>
    <row r="585" spans="11:16" ht="13" x14ac:dyDescent="0.15">
      <c r="K585" s="56"/>
      <c r="L585" s="57"/>
      <c r="M585" s="57"/>
      <c r="N585" s="57"/>
      <c r="O585" s="57"/>
      <c r="P585" s="57"/>
    </row>
    <row r="586" spans="11:16" ht="13" x14ac:dyDescent="0.15">
      <c r="K586" s="56"/>
      <c r="L586" s="57"/>
      <c r="M586" s="57"/>
      <c r="N586" s="57"/>
      <c r="O586" s="57"/>
      <c r="P586" s="57"/>
    </row>
    <row r="587" spans="11:16" ht="13" x14ac:dyDescent="0.15">
      <c r="K587" s="56"/>
      <c r="L587" s="57"/>
      <c r="M587" s="57"/>
      <c r="N587" s="57"/>
      <c r="O587" s="57"/>
      <c r="P587" s="57"/>
    </row>
    <row r="588" spans="11:16" ht="13" x14ac:dyDescent="0.15">
      <c r="K588" s="56"/>
      <c r="L588" s="57"/>
      <c r="M588" s="57"/>
      <c r="N588" s="57"/>
      <c r="O588" s="57"/>
      <c r="P588" s="57"/>
    </row>
    <row r="589" spans="11:16" ht="13" x14ac:dyDescent="0.15">
      <c r="K589" s="56"/>
      <c r="L589" s="57"/>
      <c r="M589" s="57"/>
      <c r="N589" s="57"/>
      <c r="O589" s="57"/>
      <c r="P589" s="57"/>
    </row>
    <row r="590" spans="11:16" ht="13" x14ac:dyDescent="0.15">
      <c r="K590" s="56"/>
      <c r="L590" s="57"/>
      <c r="M590" s="57"/>
      <c r="N590" s="57"/>
      <c r="O590" s="57"/>
      <c r="P590" s="57"/>
    </row>
    <row r="591" spans="11:16" ht="13" x14ac:dyDescent="0.15">
      <c r="K591" s="56"/>
      <c r="L591" s="57"/>
      <c r="M591" s="57"/>
      <c r="N591" s="57"/>
      <c r="O591" s="57"/>
      <c r="P591" s="57"/>
    </row>
    <row r="592" spans="11:16" ht="13" x14ac:dyDescent="0.15">
      <c r="K592" s="56"/>
      <c r="L592" s="57"/>
      <c r="M592" s="57"/>
      <c r="N592" s="57"/>
      <c r="O592" s="57"/>
      <c r="P592" s="57"/>
    </row>
    <row r="593" spans="11:16" ht="13" x14ac:dyDescent="0.15">
      <c r="K593" s="56"/>
      <c r="L593" s="57"/>
      <c r="M593" s="57"/>
      <c r="N593" s="57"/>
      <c r="O593" s="57"/>
      <c r="P593" s="57"/>
    </row>
    <row r="594" spans="11:16" ht="13" x14ac:dyDescent="0.15">
      <c r="K594" s="56"/>
      <c r="L594" s="57"/>
      <c r="M594" s="57"/>
      <c r="N594" s="57"/>
      <c r="O594" s="57"/>
      <c r="P594" s="57"/>
    </row>
    <row r="595" spans="11:16" ht="13" x14ac:dyDescent="0.15">
      <c r="K595" s="56"/>
      <c r="L595" s="57"/>
      <c r="M595" s="57"/>
      <c r="N595" s="57"/>
      <c r="O595" s="57"/>
      <c r="P595" s="57"/>
    </row>
    <row r="596" spans="11:16" ht="13" x14ac:dyDescent="0.15">
      <c r="K596" s="56"/>
      <c r="L596" s="57"/>
      <c r="M596" s="57"/>
      <c r="N596" s="57"/>
      <c r="O596" s="57"/>
      <c r="P596" s="57"/>
    </row>
    <row r="597" spans="11:16" ht="13" x14ac:dyDescent="0.15">
      <c r="K597" s="56"/>
      <c r="L597" s="57"/>
      <c r="M597" s="57"/>
      <c r="N597" s="57"/>
      <c r="O597" s="57"/>
      <c r="P597" s="57"/>
    </row>
    <row r="598" spans="11:16" ht="13" x14ac:dyDescent="0.15">
      <c r="K598" s="56"/>
      <c r="L598" s="57"/>
      <c r="M598" s="57"/>
      <c r="N598" s="57"/>
      <c r="O598" s="57"/>
      <c r="P598" s="57"/>
    </row>
    <row r="599" spans="11:16" ht="13" x14ac:dyDescent="0.15">
      <c r="K599" s="56"/>
      <c r="L599" s="57"/>
      <c r="M599" s="57"/>
      <c r="N599" s="57"/>
      <c r="O599" s="57"/>
      <c r="P599" s="57"/>
    </row>
    <row r="600" spans="11:16" ht="13" x14ac:dyDescent="0.15">
      <c r="K600" s="56"/>
      <c r="L600" s="57"/>
      <c r="M600" s="57"/>
      <c r="N600" s="57"/>
      <c r="O600" s="57"/>
      <c r="P600" s="57"/>
    </row>
    <row r="601" spans="11:16" ht="13" x14ac:dyDescent="0.15">
      <c r="K601" s="56"/>
      <c r="L601" s="57"/>
      <c r="M601" s="57"/>
      <c r="N601" s="57"/>
      <c r="O601" s="57"/>
      <c r="P601" s="57"/>
    </row>
    <row r="602" spans="11:16" ht="13" x14ac:dyDescent="0.15">
      <c r="K602" s="56"/>
      <c r="L602" s="57"/>
      <c r="M602" s="57"/>
      <c r="N602" s="57"/>
      <c r="O602" s="57"/>
      <c r="P602" s="57"/>
    </row>
    <row r="603" spans="11:16" ht="13" x14ac:dyDescent="0.15">
      <c r="K603" s="56"/>
      <c r="L603" s="57"/>
      <c r="M603" s="57"/>
      <c r="N603" s="57"/>
      <c r="O603" s="57"/>
      <c r="P603" s="57"/>
    </row>
    <row r="604" spans="11:16" ht="13" x14ac:dyDescent="0.15">
      <c r="K604" s="56"/>
      <c r="L604" s="57"/>
      <c r="M604" s="57"/>
      <c r="N604" s="57"/>
      <c r="O604" s="57"/>
      <c r="P604" s="57"/>
    </row>
    <row r="605" spans="11:16" ht="13" x14ac:dyDescent="0.15">
      <c r="K605" s="56"/>
      <c r="L605" s="57"/>
      <c r="M605" s="57"/>
      <c r="N605" s="57"/>
      <c r="O605" s="57"/>
      <c r="P605" s="57"/>
    </row>
    <row r="606" spans="11:16" ht="13" x14ac:dyDescent="0.15">
      <c r="K606" s="56"/>
      <c r="L606" s="57"/>
      <c r="M606" s="57"/>
      <c r="N606" s="57"/>
      <c r="O606" s="57"/>
      <c r="P606" s="57"/>
    </row>
    <row r="607" spans="11:16" ht="13" x14ac:dyDescent="0.15">
      <c r="K607" s="56"/>
      <c r="L607" s="57"/>
      <c r="M607" s="57"/>
      <c r="N607" s="57"/>
      <c r="O607" s="57"/>
      <c r="P607" s="57"/>
    </row>
    <row r="608" spans="11:16" ht="13" x14ac:dyDescent="0.15">
      <c r="K608" s="56"/>
      <c r="L608" s="57"/>
      <c r="M608" s="57"/>
      <c r="N608" s="57"/>
      <c r="O608" s="57"/>
      <c r="P608" s="57"/>
    </row>
    <row r="609" spans="11:16" ht="13" x14ac:dyDescent="0.15">
      <c r="K609" s="56"/>
      <c r="L609" s="57"/>
      <c r="M609" s="57"/>
      <c r="N609" s="57"/>
      <c r="O609" s="57"/>
      <c r="P609" s="57"/>
    </row>
    <row r="610" spans="11:16" ht="13" x14ac:dyDescent="0.15">
      <c r="K610" s="56"/>
      <c r="L610" s="57"/>
      <c r="M610" s="57"/>
      <c r="N610" s="57"/>
      <c r="O610" s="57"/>
      <c r="P610" s="57"/>
    </row>
    <row r="611" spans="11:16" ht="13" x14ac:dyDescent="0.15">
      <c r="K611" s="56"/>
      <c r="L611" s="57"/>
      <c r="M611" s="57"/>
      <c r="N611" s="57"/>
      <c r="O611" s="57"/>
      <c r="P611" s="57"/>
    </row>
    <row r="612" spans="11:16" ht="13" x14ac:dyDescent="0.15">
      <c r="K612" s="56"/>
      <c r="L612" s="57"/>
      <c r="M612" s="57"/>
      <c r="N612" s="57"/>
      <c r="O612" s="57"/>
      <c r="P612" s="57"/>
    </row>
    <row r="613" spans="11:16" ht="13" x14ac:dyDescent="0.15">
      <c r="K613" s="56"/>
      <c r="L613" s="57"/>
      <c r="M613" s="57"/>
      <c r="N613" s="57"/>
      <c r="O613" s="57"/>
      <c r="P613" s="57"/>
    </row>
    <row r="614" spans="11:16" ht="13" x14ac:dyDescent="0.15">
      <c r="K614" s="56"/>
      <c r="L614" s="57"/>
      <c r="M614" s="57"/>
      <c r="N614" s="57"/>
      <c r="O614" s="57"/>
      <c r="P614" s="57"/>
    </row>
    <row r="615" spans="11:16" ht="13" x14ac:dyDescent="0.15">
      <c r="K615" s="56"/>
      <c r="L615" s="57"/>
      <c r="M615" s="57"/>
      <c r="N615" s="57"/>
      <c r="O615" s="57"/>
      <c r="P615" s="57"/>
    </row>
    <row r="616" spans="11:16" ht="13" x14ac:dyDescent="0.15">
      <c r="K616" s="56"/>
      <c r="L616" s="57"/>
      <c r="M616" s="57"/>
      <c r="N616" s="57"/>
      <c r="O616" s="57"/>
      <c r="P616" s="57"/>
    </row>
    <row r="617" spans="11:16" ht="13" x14ac:dyDescent="0.15">
      <c r="K617" s="56"/>
      <c r="L617" s="57"/>
      <c r="M617" s="57"/>
      <c r="N617" s="57"/>
      <c r="O617" s="57"/>
      <c r="P617" s="57"/>
    </row>
    <row r="618" spans="11:16" ht="13" x14ac:dyDescent="0.15">
      <c r="K618" s="56"/>
      <c r="L618" s="57"/>
      <c r="M618" s="57"/>
      <c r="N618" s="57"/>
      <c r="O618" s="57"/>
      <c r="P618" s="57"/>
    </row>
    <row r="619" spans="11:16" ht="13" x14ac:dyDescent="0.15">
      <c r="K619" s="56"/>
      <c r="L619" s="57"/>
      <c r="M619" s="57"/>
      <c r="N619" s="57"/>
      <c r="O619" s="57"/>
      <c r="P619" s="57"/>
    </row>
    <row r="620" spans="11:16" ht="13" x14ac:dyDescent="0.15">
      <c r="K620" s="56"/>
      <c r="L620" s="57"/>
      <c r="M620" s="57"/>
      <c r="N620" s="57"/>
      <c r="O620" s="57"/>
      <c r="P620" s="57"/>
    </row>
    <row r="621" spans="11:16" ht="13" x14ac:dyDescent="0.15">
      <c r="K621" s="56"/>
      <c r="L621" s="57"/>
      <c r="M621" s="57"/>
      <c r="N621" s="57"/>
      <c r="O621" s="57"/>
      <c r="P621" s="57"/>
    </row>
    <row r="622" spans="11:16" ht="13" x14ac:dyDescent="0.15">
      <c r="K622" s="56"/>
      <c r="L622" s="57"/>
      <c r="M622" s="57"/>
      <c r="N622" s="57"/>
      <c r="O622" s="57"/>
      <c r="P622" s="57"/>
    </row>
    <row r="623" spans="11:16" ht="13" x14ac:dyDescent="0.15">
      <c r="K623" s="56"/>
      <c r="L623" s="57"/>
      <c r="M623" s="57"/>
      <c r="N623" s="57"/>
      <c r="O623" s="57"/>
      <c r="P623" s="57"/>
    </row>
    <row r="624" spans="11:16" ht="13" x14ac:dyDescent="0.15">
      <c r="K624" s="56"/>
      <c r="L624" s="57"/>
      <c r="M624" s="57"/>
      <c r="N624" s="57"/>
      <c r="O624" s="57"/>
      <c r="P624" s="57"/>
    </row>
    <row r="625" spans="11:16" ht="13" x14ac:dyDescent="0.15">
      <c r="K625" s="56"/>
      <c r="L625" s="57"/>
      <c r="M625" s="57"/>
      <c r="N625" s="57"/>
      <c r="O625" s="57"/>
      <c r="P625" s="57"/>
    </row>
    <row r="626" spans="11:16" ht="13" x14ac:dyDescent="0.15">
      <c r="K626" s="56"/>
      <c r="L626" s="57"/>
      <c r="M626" s="57"/>
      <c r="N626" s="57"/>
      <c r="O626" s="57"/>
      <c r="P626" s="57"/>
    </row>
    <row r="627" spans="11:16" ht="13" x14ac:dyDescent="0.15">
      <c r="K627" s="56"/>
      <c r="L627" s="57"/>
      <c r="M627" s="57"/>
      <c r="N627" s="57"/>
      <c r="O627" s="57"/>
      <c r="P627" s="57"/>
    </row>
    <row r="628" spans="11:16" ht="13" x14ac:dyDescent="0.15">
      <c r="K628" s="56"/>
      <c r="L628" s="57"/>
      <c r="M628" s="57"/>
      <c r="N628" s="57"/>
      <c r="O628" s="57"/>
      <c r="P628" s="57"/>
    </row>
    <row r="629" spans="11:16" ht="13" x14ac:dyDescent="0.15">
      <c r="K629" s="56"/>
      <c r="L629" s="57"/>
      <c r="M629" s="57"/>
      <c r="N629" s="57"/>
      <c r="O629" s="57"/>
      <c r="P629" s="57"/>
    </row>
    <row r="630" spans="11:16" ht="13" x14ac:dyDescent="0.15">
      <c r="K630" s="56"/>
      <c r="L630" s="57"/>
      <c r="M630" s="57"/>
      <c r="N630" s="57"/>
      <c r="O630" s="57"/>
      <c r="P630" s="57"/>
    </row>
    <row r="631" spans="11:16" ht="13" x14ac:dyDescent="0.15">
      <c r="K631" s="56"/>
      <c r="L631" s="57"/>
      <c r="M631" s="57"/>
      <c r="N631" s="57"/>
      <c r="O631" s="57"/>
      <c r="P631" s="57"/>
    </row>
    <row r="632" spans="11:16" ht="13" x14ac:dyDescent="0.15">
      <c r="K632" s="56"/>
      <c r="L632" s="57"/>
      <c r="M632" s="57"/>
      <c r="N632" s="57"/>
      <c r="O632" s="57"/>
      <c r="P632" s="57"/>
    </row>
    <row r="633" spans="11:16" ht="13" x14ac:dyDescent="0.15">
      <c r="K633" s="56"/>
      <c r="L633" s="57"/>
      <c r="M633" s="57"/>
      <c r="N633" s="57"/>
      <c r="O633" s="57"/>
      <c r="P633" s="57"/>
    </row>
    <row r="634" spans="11:16" ht="13" x14ac:dyDescent="0.15">
      <c r="K634" s="56"/>
      <c r="L634" s="57"/>
      <c r="M634" s="57"/>
      <c r="N634" s="57"/>
      <c r="O634" s="57"/>
      <c r="P634" s="57"/>
    </row>
    <row r="635" spans="11:16" ht="13" x14ac:dyDescent="0.15">
      <c r="K635" s="56"/>
      <c r="L635" s="57"/>
      <c r="M635" s="57"/>
      <c r="N635" s="57"/>
      <c r="O635" s="57"/>
      <c r="P635" s="57"/>
    </row>
    <row r="636" spans="11:16" ht="13" x14ac:dyDescent="0.15">
      <c r="K636" s="56"/>
      <c r="L636" s="57"/>
      <c r="M636" s="57"/>
      <c r="N636" s="57"/>
      <c r="O636" s="57"/>
      <c r="P636" s="57"/>
    </row>
    <row r="637" spans="11:16" ht="13" x14ac:dyDescent="0.15">
      <c r="K637" s="56"/>
      <c r="L637" s="57"/>
      <c r="M637" s="57"/>
      <c r="N637" s="57"/>
      <c r="O637" s="57"/>
      <c r="P637" s="57"/>
    </row>
    <row r="638" spans="11:16" ht="13" x14ac:dyDescent="0.15">
      <c r="K638" s="56"/>
      <c r="L638" s="57"/>
      <c r="M638" s="57"/>
      <c r="N638" s="57"/>
      <c r="O638" s="57"/>
      <c r="P638" s="57"/>
    </row>
    <row r="639" spans="11:16" ht="13" x14ac:dyDescent="0.15">
      <c r="K639" s="56"/>
      <c r="L639" s="57"/>
      <c r="M639" s="57"/>
      <c r="N639" s="57"/>
      <c r="O639" s="57"/>
      <c r="P639" s="57"/>
    </row>
    <row r="640" spans="11:16" ht="13" x14ac:dyDescent="0.15">
      <c r="K640" s="56"/>
      <c r="L640" s="57"/>
      <c r="M640" s="57"/>
      <c r="N640" s="57"/>
      <c r="O640" s="57"/>
      <c r="P640" s="57"/>
    </row>
    <row r="641" spans="11:16" ht="13" x14ac:dyDescent="0.15">
      <c r="K641" s="56"/>
      <c r="L641" s="57"/>
      <c r="M641" s="57"/>
      <c r="N641" s="57"/>
      <c r="O641" s="57"/>
      <c r="P641" s="57"/>
    </row>
    <row r="642" spans="11:16" ht="13" x14ac:dyDescent="0.15">
      <c r="K642" s="56"/>
      <c r="L642" s="57"/>
      <c r="M642" s="57"/>
      <c r="N642" s="57"/>
      <c r="O642" s="57"/>
      <c r="P642" s="57"/>
    </row>
    <row r="643" spans="11:16" ht="13" x14ac:dyDescent="0.15">
      <c r="K643" s="56"/>
      <c r="L643" s="57"/>
      <c r="M643" s="57"/>
      <c r="N643" s="57"/>
      <c r="O643" s="57"/>
      <c r="P643" s="57"/>
    </row>
    <row r="644" spans="11:16" ht="13" x14ac:dyDescent="0.15">
      <c r="K644" s="56"/>
      <c r="L644" s="57"/>
      <c r="M644" s="57"/>
      <c r="N644" s="57"/>
      <c r="O644" s="57"/>
      <c r="P644" s="57"/>
    </row>
    <row r="645" spans="11:16" ht="13" x14ac:dyDescent="0.15">
      <c r="K645" s="56"/>
      <c r="L645" s="57"/>
      <c r="M645" s="57"/>
      <c r="N645" s="57"/>
      <c r="O645" s="57"/>
      <c r="P645" s="57"/>
    </row>
    <row r="646" spans="11:16" ht="13" x14ac:dyDescent="0.15">
      <c r="K646" s="56"/>
      <c r="L646" s="57"/>
      <c r="M646" s="57"/>
      <c r="N646" s="57"/>
      <c r="O646" s="57"/>
      <c r="P646" s="57"/>
    </row>
    <row r="647" spans="11:16" ht="13" x14ac:dyDescent="0.15">
      <c r="K647" s="56"/>
      <c r="L647" s="57"/>
      <c r="M647" s="57"/>
      <c r="N647" s="57"/>
      <c r="O647" s="57"/>
      <c r="P647" s="57"/>
    </row>
    <row r="648" spans="11:16" ht="13" x14ac:dyDescent="0.15">
      <c r="K648" s="56"/>
      <c r="L648" s="57"/>
      <c r="M648" s="57"/>
      <c r="N648" s="57"/>
      <c r="O648" s="57"/>
      <c r="P648" s="57"/>
    </row>
    <row r="649" spans="11:16" ht="13" x14ac:dyDescent="0.15">
      <c r="K649" s="56"/>
      <c r="L649" s="57"/>
      <c r="M649" s="57"/>
      <c r="N649" s="57"/>
      <c r="O649" s="57"/>
      <c r="P649" s="57"/>
    </row>
    <row r="650" spans="11:16" ht="13" x14ac:dyDescent="0.15">
      <c r="K650" s="56"/>
      <c r="L650" s="57"/>
      <c r="M650" s="57"/>
      <c r="N650" s="57"/>
      <c r="O650" s="57"/>
      <c r="P650" s="57"/>
    </row>
    <row r="651" spans="11:16" ht="13" x14ac:dyDescent="0.15">
      <c r="K651" s="56"/>
      <c r="L651" s="57"/>
      <c r="M651" s="57"/>
      <c r="N651" s="57"/>
      <c r="O651" s="57"/>
      <c r="P651" s="57"/>
    </row>
    <row r="652" spans="11:16" ht="13" x14ac:dyDescent="0.15">
      <c r="K652" s="56"/>
      <c r="L652" s="57"/>
      <c r="M652" s="57"/>
      <c r="N652" s="57"/>
      <c r="O652" s="57"/>
      <c r="P652" s="57"/>
    </row>
    <row r="653" spans="11:16" ht="13" x14ac:dyDescent="0.15">
      <c r="K653" s="56"/>
      <c r="L653" s="57"/>
      <c r="M653" s="57"/>
      <c r="N653" s="57"/>
      <c r="O653" s="57"/>
      <c r="P653" s="57"/>
    </row>
    <row r="654" spans="11:16" ht="13" x14ac:dyDescent="0.15">
      <c r="K654" s="56"/>
      <c r="L654" s="57"/>
      <c r="M654" s="57"/>
      <c r="N654" s="57"/>
      <c r="O654" s="57"/>
      <c r="P654" s="57"/>
    </row>
    <row r="655" spans="11:16" ht="13" x14ac:dyDescent="0.15">
      <c r="K655" s="56"/>
      <c r="L655" s="57"/>
      <c r="M655" s="57"/>
      <c r="N655" s="57"/>
      <c r="O655" s="57"/>
      <c r="P655" s="57"/>
    </row>
    <row r="656" spans="11:16" ht="13" x14ac:dyDescent="0.15">
      <c r="K656" s="56"/>
      <c r="L656" s="57"/>
      <c r="M656" s="57"/>
      <c r="N656" s="57"/>
      <c r="O656" s="57"/>
      <c r="P656" s="57"/>
    </row>
    <row r="657" spans="11:16" ht="13" x14ac:dyDescent="0.15">
      <c r="K657" s="56"/>
      <c r="L657" s="57"/>
      <c r="M657" s="57"/>
      <c r="N657" s="57"/>
      <c r="O657" s="57"/>
      <c r="P657" s="57"/>
    </row>
    <row r="658" spans="11:16" ht="13" x14ac:dyDescent="0.15">
      <c r="K658" s="56"/>
      <c r="L658" s="57"/>
      <c r="M658" s="57"/>
      <c r="N658" s="57"/>
      <c r="O658" s="57"/>
      <c r="P658" s="57"/>
    </row>
    <row r="659" spans="11:16" ht="13" x14ac:dyDescent="0.15">
      <c r="K659" s="56"/>
      <c r="L659" s="57"/>
      <c r="M659" s="57"/>
      <c r="N659" s="57"/>
      <c r="O659" s="57"/>
      <c r="P659" s="57"/>
    </row>
    <row r="660" spans="11:16" ht="13" x14ac:dyDescent="0.15">
      <c r="K660" s="56"/>
      <c r="L660" s="57"/>
      <c r="M660" s="57"/>
      <c r="N660" s="57"/>
      <c r="O660" s="57"/>
      <c r="P660" s="57"/>
    </row>
    <row r="661" spans="11:16" ht="13" x14ac:dyDescent="0.15">
      <c r="K661" s="56"/>
      <c r="L661" s="57"/>
      <c r="M661" s="57"/>
      <c r="N661" s="57"/>
      <c r="O661" s="57"/>
      <c r="P661" s="57"/>
    </row>
    <row r="662" spans="11:16" ht="13" x14ac:dyDescent="0.15">
      <c r="K662" s="56"/>
      <c r="L662" s="57"/>
      <c r="M662" s="57"/>
      <c r="N662" s="57"/>
      <c r="O662" s="57"/>
      <c r="P662" s="57"/>
    </row>
    <row r="663" spans="11:16" ht="13" x14ac:dyDescent="0.15">
      <c r="K663" s="56"/>
      <c r="L663" s="57"/>
      <c r="M663" s="57"/>
      <c r="N663" s="57"/>
      <c r="O663" s="57"/>
      <c r="P663" s="57"/>
    </row>
    <row r="664" spans="11:16" ht="13" x14ac:dyDescent="0.15">
      <c r="K664" s="56"/>
      <c r="L664" s="57"/>
      <c r="M664" s="57"/>
      <c r="N664" s="57"/>
      <c r="O664" s="57"/>
      <c r="P664" s="57"/>
    </row>
    <row r="665" spans="11:16" ht="13" x14ac:dyDescent="0.15">
      <c r="K665" s="56"/>
      <c r="L665" s="57"/>
      <c r="M665" s="57"/>
      <c r="N665" s="57"/>
      <c r="O665" s="57"/>
      <c r="P665" s="57"/>
    </row>
    <row r="666" spans="11:16" ht="13" x14ac:dyDescent="0.15">
      <c r="K666" s="56"/>
      <c r="L666" s="57"/>
      <c r="M666" s="57"/>
      <c r="N666" s="57"/>
      <c r="O666" s="57"/>
      <c r="P666" s="57"/>
    </row>
    <row r="667" spans="11:16" ht="13" x14ac:dyDescent="0.15">
      <c r="K667" s="56"/>
      <c r="L667" s="57"/>
      <c r="M667" s="57"/>
      <c r="N667" s="57"/>
      <c r="O667" s="57"/>
      <c r="P667" s="57"/>
    </row>
    <row r="668" spans="11:16" ht="13" x14ac:dyDescent="0.15">
      <c r="K668" s="56"/>
      <c r="L668" s="57"/>
      <c r="M668" s="57"/>
      <c r="N668" s="57"/>
      <c r="O668" s="57"/>
      <c r="P668" s="57"/>
    </row>
    <row r="669" spans="11:16" ht="13" x14ac:dyDescent="0.15">
      <c r="K669" s="56"/>
      <c r="L669" s="57"/>
      <c r="M669" s="57"/>
      <c r="N669" s="57"/>
      <c r="O669" s="57"/>
      <c r="P669" s="57"/>
    </row>
    <row r="670" spans="11:16" ht="13" x14ac:dyDescent="0.15">
      <c r="K670" s="56"/>
      <c r="L670" s="57"/>
      <c r="M670" s="57"/>
      <c r="N670" s="57"/>
      <c r="O670" s="57"/>
      <c r="P670" s="57"/>
    </row>
    <row r="671" spans="11:16" ht="13" x14ac:dyDescent="0.15">
      <c r="K671" s="56"/>
      <c r="L671" s="57"/>
      <c r="M671" s="57"/>
      <c r="N671" s="57"/>
      <c r="O671" s="57"/>
      <c r="P671" s="57"/>
    </row>
    <row r="672" spans="11:16" ht="13" x14ac:dyDescent="0.15">
      <c r="K672" s="56"/>
      <c r="L672" s="57"/>
      <c r="M672" s="57"/>
      <c r="N672" s="57"/>
      <c r="O672" s="57"/>
      <c r="P672" s="57"/>
    </row>
    <row r="673" spans="11:16" ht="13" x14ac:dyDescent="0.15">
      <c r="K673" s="56"/>
      <c r="L673" s="57"/>
      <c r="M673" s="57"/>
      <c r="N673" s="57"/>
      <c r="O673" s="57"/>
      <c r="P673" s="57"/>
    </row>
    <row r="674" spans="11:16" ht="13" x14ac:dyDescent="0.15">
      <c r="K674" s="56"/>
      <c r="L674" s="57"/>
      <c r="M674" s="57"/>
      <c r="N674" s="57"/>
      <c r="O674" s="57"/>
      <c r="P674" s="57"/>
    </row>
    <row r="675" spans="11:16" ht="13" x14ac:dyDescent="0.15">
      <c r="K675" s="56"/>
      <c r="L675" s="57"/>
      <c r="M675" s="57"/>
      <c r="N675" s="57"/>
      <c r="O675" s="57"/>
      <c r="P675" s="57"/>
    </row>
    <row r="676" spans="11:16" ht="13" x14ac:dyDescent="0.15">
      <c r="K676" s="56"/>
      <c r="L676" s="57"/>
      <c r="M676" s="57"/>
      <c r="N676" s="57"/>
      <c r="O676" s="57"/>
      <c r="P676" s="57"/>
    </row>
    <row r="677" spans="11:16" ht="13" x14ac:dyDescent="0.15">
      <c r="K677" s="56"/>
      <c r="L677" s="57"/>
      <c r="M677" s="57"/>
      <c r="N677" s="57"/>
      <c r="O677" s="57"/>
      <c r="P677" s="57"/>
    </row>
    <row r="678" spans="11:16" ht="13" x14ac:dyDescent="0.15">
      <c r="K678" s="56"/>
      <c r="L678" s="57"/>
      <c r="M678" s="57"/>
      <c r="N678" s="57"/>
      <c r="O678" s="57"/>
      <c r="P678" s="57"/>
    </row>
    <row r="679" spans="11:16" ht="13" x14ac:dyDescent="0.15">
      <c r="K679" s="56"/>
      <c r="L679" s="57"/>
      <c r="M679" s="57"/>
      <c r="N679" s="57"/>
      <c r="O679" s="57"/>
      <c r="P679" s="57"/>
    </row>
    <row r="680" spans="11:16" ht="13" x14ac:dyDescent="0.15">
      <c r="K680" s="56"/>
      <c r="L680" s="57"/>
      <c r="M680" s="57"/>
      <c r="N680" s="57"/>
      <c r="O680" s="57"/>
      <c r="P680" s="57"/>
    </row>
    <row r="681" spans="11:16" ht="13" x14ac:dyDescent="0.15">
      <c r="K681" s="56"/>
      <c r="L681" s="57"/>
      <c r="M681" s="57"/>
      <c r="N681" s="57"/>
      <c r="O681" s="57"/>
      <c r="P681" s="57"/>
    </row>
    <row r="682" spans="11:16" ht="13" x14ac:dyDescent="0.15">
      <c r="K682" s="56"/>
      <c r="L682" s="57"/>
      <c r="M682" s="57"/>
      <c r="N682" s="57"/>
      <c r="O682" s="57"/>
      <c r="P682" s="57"/>
    </row>
    <row r="683" spans="11:16" ht="13" x14ac:dyDescent="0.15">
      <c r="K683" s="56"/>
      <c r="L683" s="57"/>
      <c r="M683" s="57"/>
      <c r="N683" s="57"/>
      <c r="O683" s="57"/>
      <c r="P683" s="57"/>
    </row>
    <row r="684" spans="11:16" ht="13" x14ac:dyDescent="0.15">
      <c r="K684" s="56"/>
      <c r="L684" s="57"/>
      <c r="M684" s="57"/>
      <c r="N684" s="57"/>
      <c r="O684" s="57"/>
      <c r="P684" s="57"/>
    </row>
    <row r="685" spans="11:16" ht="13" x14ac:dyDescent="0.15">
      <c r="K685" s="56"/>
      <c r="L685" s="57"/>
      <c r="M685" s="57"/>
      <c r="N685" s="57"/>
      <c r="O685" s="57"/>
      <c r="P685" s="57"/>
    </row>
    <row r="686" spans="11:16" ht="13" x14ac:dyDescent="0.15">
      <c r="K686" s="56"/>
      <c r="L686" s="57"/>
      <c r="M686" s="57"/>
      <c r="N686" s="57"/>
      <c r="O686" s="57"/>
      <c r="P686" s="57"/>
    </row>
    <row r="687" spans="11:16" ht="13" x14ac:dyDescent="0.15">
      <c r="K687" s="56"/>
      <c r="L687" s="57"/>
      <c r="M687" s="57"/>
      <c r="N687" s="57"/>
      <c r="O687" s="57"/>
      <c r="P687" s="57"/>
    </row>
    <row r="688" spans="11:16" ht="13" x14ac:dyDescent="0.15">
      <c r="K688" s="56"/>
      <c r="L688" s="57"/>
      <c r="M688" s="57"/>
      <c r="N688" s="57"/>
      <c r="O688" s="57"/>
      <c r="P688" s="57"/>
    </row>
    <row r="689" spans="11:16" ht="13" x14ac:dyDescent="0.15">
      <c r="K689" s="56"/>
      <c r="L689" s="57"/>
      <c r="M689" s="57"/>
      <c r="N689" s="57"/>
      <c r="O689" s="57"/>
      <c r="P689" s="57"/>
    </row>
    <row r="690" spans="11:16" ht="13" x14ac:dyDescent="0.15">
      <c r="K690" s="56"/>
      <c r="L690" s="57"/>
      <c r="M690" s="57"/>
      <c r="N690" s="57"/>
      <c r="O690" s="57"/>
      <c r="P690" s="57"/>
    </row>
    <row r="691" spans="11:16" ht="13" x14ac:dyDescent="0.15">
      <c r="K691" s="56"/>
      <c r="L691" s="57"/>
      <c r="M691" s="57"/>
      <c r="N691" s="57"/>
      <c r="O691" s="57"/>
      <c r="P691" s="57"/>
    </row>
    <row r="692" spans="11:16" ht="13" x14ac:dyDescent="0.15">
      <c r="K692" s="56"/>
      <c r="L692" s="57"/>
      <c r="M692" s="57"/>
      <c r="N692" s="57"/>
      <c r="O692" s="57"/>
      <c r="P692" s="57"/>
    </row>
    <row r="693" spans="11:16" ht="13" x14ac:dyDescent="0.15">
      <c r="K693" s="56"/>
      <c r="L693" s="57"/>
      <c r="M693" s="57"/>
      <c r="N693" s="57"/>
      <c r="O693" s="57"/>
      <c r="P693" s="57"/>
    </row>
    <row r="694" spans="11:16" ht="13" x14ac:dyDescent="0.15">
      <c r="K694" s="56"/>
      <c r="L694" s="57"/>
      <c r="M694" s="57"/>
      <c r="N694" s="57"/>
      <c r="O694" s="57"/>
      <c r="P694" s="57"/>
    </row>
    <row r="695" spans="11:16" ht="13" x14ac:dyDescent="0.15">
      <c r="K695" s="56"/>
      <c r="L695" s="57"/>
      <c r="M695" s="57"/>
      <c r="N695" s="57"/>
      <c r="O695" s="57"/>
      <c r="P695" s="57"/>
    </row>
    <row r="696" spans="11:16" ht="13" x14ac:dyDescent="0.15">
      <c r="K696" s="56"/>
      <c r="L696" s="57"/>
      <c r="M696" s="57"/>
      <c r="N696" s="57"/>
      <c r="O696" s="57"/>
      <c r="P696" s="57"/>
    </row>
    <row r="697" spans="11:16" ht="13" x14ac:dyDescent="0.15">
      <c r="K697" s="56"/>
      <c r="L697" s="57"/>
      <c r="M697" s="57"/>
      <c r="N697" s="57"/>
      <c r="O697" s="57"/>
      <c r="P697" s="57"/>
    </row>
    <row r="698" spans="11:16" ht="13" x14ac:dyDescent="0.15">
      <c r="K698" s="56"/>
      <c r="L698" s="57"/>
      <c r="M698" s="57"/>
      <c r="N698" s="57"/>
      <c r="O698" s="57"/>
      <c r="P698" s="57"/>
    </row>
    <row r="699" spans="11:16" ht="13" x14ac:dyDescent="0.15">
      <c r="K699" s="56"/>
      <c r="L699" s="57"/>
      <c r="M699" s="57"/>
      <c r="N699" s="57"/>
      <c r="O699" s="57"/>
      <c r="P699" s="57"/>
    </row>
    <row r="700" spans="11:16" ht="13" x14ac:dyDescent="0.15">
      <c r="K700" s="56"/>
      <c r="L700" s="57"/>
      <c r="M700" s="57"/>
      <c r="N700" s="57"/>
      <c r="O700" s="57"/>
      <c r="P700" s="57"/>
    </row>
    <row r="701" spans="11:16" ht="13" x14ac:dyDescent="0.15">
      <c r="K701" s="56"/>
      <c r="L701" s="57"/>
      <c r="M701" s="57"/>
      <c r="N701" s="57"/>
      <c r="O701" s="57"/>
      <c r="P701" s="57"/>
    </row>
    <row r="702" spans="11:16" ht="13" x14ac:dyDescent="0.15">
      <c r="K702" s="56"/>
      <c r="L702" s="57"/>
      <c r="M702" s="57"/>
      <c r="N702" s="57"/>
      <c r="O702" s="57"/>
      <c r="P702" s="57"/>
    </row>
    <row r="703" spans="11:16" ht="13" x14ac:dyDescent="0.15">
      <c r="K703" s="56"/>
      <c r="L703" s="57"/>
      <c r="M703" s="57"/>
      <c r="N703" s="57"/>
      <c r="O703" s="57"/>
      <c r="P703" s="57"/>
    </row>
    <row r="704" spans="11:16" ht="13" x14ac:dyDescent="0.15">
      <c r="K704" s="56"/>
      <c r="L704" s="57"/>
      <c r="M704" s="57"/>
      <c r="N704" s="57"/>
      <c r="O704" s="57"/>
      <c r="P704" s="57"/>
    </row>
    <row r="705" spans="11:16" ht="13" x14ac:dyDescent="0.15">
      <c r="K705" s="56"/>
      <c r="L705" s="57"/>
      <c r="M705" s="57"/>
      <c r="N705" s="57"/>
      <c r="O705" s="57"/>
      <c r="P705" s="57"/>
    </row>
    <row r="706" spans="11:16" ht="13" x14ac:dyDescent="0.15">
      <c r="K706" s="56"/>
      <c r="L706" s="57"/>
      <c r="M706" s="57"/>
      <c r="N706" s="57"/>
      <c r="O706" s="57"/>
      <c r="P706" s="57"/>
    </row>
    <row r="707" spans="11:16" ht="13" x14ac:dyDescent="0.15">
      <c r="K707" s="56"/>
      <c r="L707" s="57"/>
      <c r="M707" s="57"/>
      <c r="N707" s="57"/>
      <c r="O707" s="57"/>
      <c r="P707" s="57"/>
    </row>
    <row r="708" spans="11:16" ht="13" x14ac:dyDescent="0.15">
      <c r="K708" s="56"/>
      <c r="L708" s="57"/>
      <c r="M708" s="57"/>
      <c r="N708" s="57"/>
      <c r="O708" s="57"/>
      <c r="P708" s="57"/>
    </row>
    <row r="709" spans="11:16" ht="13" x14ac:dyDescent="0.15">
      <c r="K709" s="56"/>
      <c r="L709" s="57"/>
      <c r="M709" s="57"/>
      <c r="N709" s="57"/>
      <c r="O709" s="57"/>
      <c r="P709" s="57"/>
    </row>
    <row r="710" spans="11:16" ht="13" x14ac:dyDescent="0.15">
      <c r="K710" s="56"/>
      <c r="L710" s="57"/>
      <c r="M710" s="57"/>
      <c r="N710" s="57"/>
      <c r="O710" s="57"/>
      <c r="P710" s="57"/>
    </row>
    <row r="711" spans="11:16" ht="13" x14ac:dyDescent="0.15">
      <c r="K711" s="56"/>
      <c r="L711" s="57"/>
      <c r="M711" s="57"/>
      <c r="N711" s="57"/>
      <c r="O711" s="57"/>
      <c r="P711" s="57"/>
    </row>
    <row r="712" spans="11:16" ht="13" x14ac:dyDescent="0.15">
      <c r="K712" s="56"/>
      <c r="L712" s="57"/>
      <c r="M712" s="57"/>
      <c r="N712" s="57"/>
      <c r="O712" s="57"/>
      <c r="P712" s="57"/>
    </row>
    <row r="713" spans="11:16" ht="13" x14ac:dyDescent="0.15">
      <c r="K713" s="56"/>
      <c r="L713" s="57"/>
      <c r="M713" s="57"/>
      <c r="N713" s="57"/>
      <c r="O713" s="57"/>
      <c r="P713" s="57"/>
    </row>
    <row r="714" spans="11:16" ht="13" x14ac:dyDescent="0.15">
      <c r="K714" s="56"/>
      <c r="L714" s="57"/>
      <c r="M714" s="57"/>
      <c r="N714" s="57"/>
      <c r="O714" s="57"/>
      <c r="P714" s="57"/>
    </row>
    <row r="715" spans="11:16" ht="13" x14ac:dyDescent="0.15">
      <c r="K715" s="56"/>
      <c r="L715" s="57"/>
      <c r="M715" s="57"/>
      <c r="N715" s="57"/>
      <c r="O715" s="57"/>
      <c r="P715" s="57"/>
    </row>
    <row r="716" spans="11:16" ht="13" x14ac:dyDescent="0.15">
      <c r="K716" s="56"/>
      <c r="L716" s="57"/>
      <c r="M716" s="57"/>
      <c r="N716" s="57"/>
      <c r="O716" s="57"/>
      <c r="P716" s="57"/>
    </row>
    <row r="717" spans="11:16" ht="13" x14ac:dyDescent="0.15">
      <c r="K717" s="56"/>
      <c r="L717" s="57"/>
      <c r="M717" s="57"/>
      <c r="N717" s="57"/>
      <c r="O717" s="57"/>
      <c r="P717" s="57"/>
    </row>
    <row r="718" spans="11:16" ht="13" x14ac:dyDescent="0.15">
      <c r="K718" s="56"/>
      <c r="L718" s="57"/>
      <c r="M718" s="57"/>
      <c r="N718" s="57"/>
      <c r="O718" s="57"/>
      <c r="P718" s="57"/>
    </row>
    <row r="719" spans="11:16" ht="13" x14ac:dyDescent="0.15">
      <c r="K719" s="56"/>
      <c r="L719" s="57"/>
      <c r="M719" s="57"/>
      <c r="N719" s="57"/>
      <c r="O719" s="57"/>
      <c r="P719" s="57"/>
    </row>
    <row r="720" spans="11:16" ht="13" x14ac:dyDescent="0.15">
      <c r="K720" s="56"/>
      <c r="L720" s="57"/>
      <c r="M720" s="57"/>
      <c r="N720" s="57"/>
      <c r="O720" s="57"/>
      <c r="P720" s="57"/>
    </row>
    <row r="721" spans="11:16" ht="13" x14ac:dyDescent="0.15">
      <c r="K721" s="56"/>
      <c r="L721" s="57"/>
      <c r="M721" s="57"/>
      <c r="N721" s="57"/>
      <c r="O721" s="57"/>
      <c r="P721" s="57"/>
    </row>
    <row r="722" spans="11:16" ht="13" x14ac:dyDescent="0.15">
      <c r="K722" s="56"/>
      <c r="L722" s="57"/>
      <c r="M722" s="57"/>
      <c r="N722" s="57"/>
      <c r="O722" s="57"/>
      <c r="P722" s="57"/>
    </row>
    <row r="723" spans="11:16" ht="13" x14ac:dyDescent="0.15">
      <c r="K723" s="56"/>
      <c r="L723" s="57"/>
      <c r="M723" s="57"/>
      <c r="N723" s="57"/>
      <c r="O723" s="57"/>
      <c r="P723" s="57"/>
    </row>
    <row r="724" spans="11:16" ht="13" x14ac:dyDescent="0.15">
      <c r="K724" s="56"/>
      <c r="L724" s="57"/>
      <c r="M724" s="57"/>
      <c r="N724" s="57"/>
      <c r="O724" s="57"/>
      <c r="P724" s="57"/>
    </row>
    <row r="725" spans="11:16" ht="13" x14ac:dyDescent="0.15">
      <c r="K725" s="56"/>
      <c r="L725" s="57"/>
      <c r="M725" s="57"/>
      <c r="N725" s="57"/>
      <c r="O725" s="57"/>
      <c r="P725" s="57"/>
    </row>
    <row r="726" spans="11:16" ht="13" x14ac:dyDescent="0.15">
      <c r="K726" s="56"/>
      <c r="L726" s="57"/>
      <c r="M726" s="57"/>
      <c r="N726" s="57"/>
      <c r="O726" s="57"/>
      <c r="P726" s="57"/>
    </row>
    <row r="727" spans="11:16" ht="13" x14ac:dyDescent="0.15">
      <c r="K727" s="56"/>
      <c r="L727" s="57"/>
      <c r="M727" s="57"/>
      <c r="N727" s="57"/>
      <c r="O727" s="57"/>
      <c r="P727" s="57"/>
    </row>
    <row r="728" spans="11:16" ht="13" x14ac:dyDescent="0.15">
      <c r="K728" s="56"/>
      <c r="L728" s="57"/>
      <c r="M728" s="57"/>
      <c r="N728" s="57"/>
      <c r="O728" s="57"/>
      <c r="P728" s="57"/>
    </row>
    <row r="729" spans="11:16" ht="13" x14ac:dyDescent="0.15">
      <c r="K729" s="56"/>
      <c r="L729" s="57"/>
      <c r="M729" s="57"/>
      <c r="N729" s="57"/>
      <c r="O729" s="57"/>
      <c r="P729" s="57"/>
    </row>
    <row r="730" spans="11:16" ht="13" x14ac:dyDescent="0.15">
      <c r="K730" s="56"/>
      <c r="L730" s="57"/>
      <c r="M730" s="57"/>
      <c r="N730" s="57"/>
      <c r="O730" s="57"/>
      <c r="P730" s="57"/>
    </row>
    <row r="731" spans="11:16" ht="13" x14ac:dyDescent="0.15">
      <c r="K731" s="56"/>
      <c r="L731" s="57"/>
      <c r="M731" s="57"/>
      <c r="N731" s="57"/>
      <c r="O731" s="57"/>
      <c r="P731" s="57"/>
    </row>
    <row r="732" spans="11:16" ht="13" x14ac:dyDescent="0.15">
      <c r="K732" s="56"/>
      <c r="L732" s="57"/>
      <c r="M732" s="57"/>
      <c r="N732" s="57"/>
      <c r="O732" s="57"/>
      <c r="P732" s="57"/>
    </row>
    <row r="733" spans="11:16" ht="13" x14ac:dyDescent="0.15">
      <c r="K733" s="56"/>
      <c r="L733" s="57"/>
      <c r="M733" s="57"/>
      <c r="N733" s="57"/>
      <c r="O733" s="57"/>
      <c r="P733" s="57"/>
    </row>
    <row r="734" spans="11:16" ht="13" x14ac:dyDescent="0.15">
      <c r="K734" s="56"/>
      <c r="L734" s="57"/>
      <c r="M734" s="57"/>
      <c r="N734" s="57"/>
      <c r="O734" s="57"/>
      <c r="P734" s="57"/>
    </row>
    <row r="735" spans="11:16" ht="13" x14ac:dyDescent="0.15">
      <c r="K735" s="56"/>
      <c r="L735" s="57"/>
      <c r="M735" s="57"/>
      <c r="N735" s="57"/>
      <c r="O735" s="57"/>
      <c r="P735" s="57"/>
    </row>
    <row r="736" spans="11:16" ht="13" x14ac:dyDescent="0.15">
      <c r="K736" s="56"/>
      <c r="L736" s="57"/>
      <c r="M736" s="57"/>
      <c r="N736" s="57"/>
      <c r="O736" s="57"/>
      <c r="P736" s="57"/>
    </row>
    <row r="737" spans="11:16" ht="13" x14ac:dyDescent="0.15">
      <c r="K737" s="56"/>
      <c r="L737" s="57"/>
      <c r="M737" s="57"/>
      <c r="N737" s="57"/>
      <c r="O737" s="57"/>
      <c r="P737" s="57"/>
    </row>
    <row r="738" spans="11:16" ht="13" x14ac:dyDescent="0.15">
      <c r="K738" s="56"/>
      <c r="L738" s="57"/>
      <c r="M738" s="57"/>
      <c r="N738" s="57"/>
      <c r="O738" s="57"/>
      <c r="P738" s="57"/>
    </row>
    <row r="739" spans="11:16" ht="13" x14ac:dyDescent="0.15">
      <c r="K739" s="56"/>
      <c r="L739" s="57"/>
      <c r="M739" s="57"/>
      <c r="N739" s="57"/>
      <c r="O739" s="57"/>
      <c r="P739" s="57"/>
    </row>
    <row r="740" spans="11:16" ht="13" x14ac:dyDescent="0.15">
      <c r="K740" s="56"/>
      <c r="L740" s="57"/>
      <c r="M740" s="57"/>
      <c r="N740" s="57"/>
      <c r="O740" s="57"/>
      <c r="P740" s="57"/>
    </row>
    <row r="741" spans="11:16" ht="13" x14ac:dyDescent="0.15">
      <c r="K741" s="56"/>
      <c r="L741" s="57"/>
      <c r="M741" s="57"/>
      <c r="N741" s="57"/>
      <c r="O741" s="57"/>
      <c r="P741" s="57"/>
    </row>
    <row r="742" spans="11:16" ht="13" x14ac:dyDescent="0.15">
      <c r="K742" s="56"/>
      <c r="L742" s="57"/>
      <c r="M742" s="57"/>
      <c r="N742" s="57"/>
      <c r="O742" s="57"/>
      <c r="P742" s="57"/>
    </row>
    <row r="743" spans="11:16" ht="13" x14ac:dyDescent="0.15">
      <c r="K743" s="56"/>
      <c r="L743" s="57"/>
      <c r="M743" s="57"/>
      <c r="N743" s="57"/>
      <c r="O743" s="57"/>
      <c r="P743" s="57"/>
    </row>
    <row r="744" spans="11:16" ht="13" x14ac:dyDescent="0.15">
      <c r="K744" s="56"/>
      <c r="L744" s="57"/>
      <c r="M744" s="57"/>
      <c r="N744" s="57"/>
      <c r="O744" s="57"/>
      <c r="P744" s="57"/>
    </row>
    <row r="745" spans="11:16" ht="13" x14ac:dyDescent="0.15">
      <c r="K745" s="56"/>
      <c r="L745" s="57"/>
      <c r="M745" s="57"/>
      <c r="N745" s="57"/>
      <c r="O745" s="57"/>
      <c r="P745" s="57"/>
    </row>
    <row r="746" spans="11:16" ht="13" x14ac:dyDescent="0.15">
      <c r="K746" s="56"/>
      <c r="L746" s="57"/>
      <c r="M746" s="57"/>
      <c r="N746" s="57"/>
      <c r="O746" s="57"/>
      <c r="P746" s="57"/>
    </row>
    <row r="747" spans="11:16" ht="13" x14ac:dyDescent="0.15">
      <c r="K747" s="56"/>
      <c r="L747" s="57"/>
      <c r="M747" s="57"/>
      <c r="N747" s="57"/>
      <c r="O747" s="57"/>
      <c r="P747" s="57"/>
    </row>
    <row r="748" spans="11:16" ht="13" x14ac:dyDescent="0.15">
      <c r="K748" s="56"/>
      <c r="L748" s="57"/>
      <c r="M748" s="57"/>
      <c r="N748" s="57"/>
      <c r="O748" s="57"/>
      <c r="P748" s="57"/>
    </row>
    <row r="749" spans="11:16" ht="13" x14ac:dyDescent="0.15">
      <c r="K749" s="56"/>
      <c r="L749" s="57"/>
      <c r="M749" s="57"/>
      <c r="N749" s="57"/>
      <c r="O749" s="57"/>
      <c r="P749" s="57"/>
    </row>
    <row r="750" spans="11:16" ht="13" x14ac:dyDescent="0.15">
      <c r="K750" s="56"/>
      <c r="L750" s="57"/>
      <c r="M750" s="57"/>
      <c r="N750" s="57"/>
      <c r="O750" s="57"/>
      <c r="P750" s="57"/>
    </row>
    <row r="751" spans="11:16" ht="13" x14ac:dyDescent="0.15">
      <c r="K751" s="56"/>
      <c r="L751" s="57"/>
      <c r="M751" s="57"/>
      <c r="N751" s="57"/>
      <c r="O751" s="57"/>
      <c r="P751" s="57"/>
    </row>
    <row r="752" spans="11:16" ht="13" x14ac:dyDescent="0.15">
      <c r="K752" s="56"/>
      <c r="L752" s="57"/>
      <c r="M752" s="57"/>
      <c r="N752" s="57"/>
      <c r="O752" s="57"/>
      <c r="P752" s="57"/>
    </row>
    <row r="753" spans="11:16" ht="13" x14ac:dyDescent="0.15">
      <c r="K753" s="56"/>
      <c r="L753" s="57"/>
      <c r="M753" s="57"/>
      <c r="N753" s="57"/>
      <c r="O753" s="57"/>
      <c r="P753" s="57"/>
    </row>
    <row r="754" spans="11:16" ht="13" x14ac:dyDescent="0.15">
      <c r="K754" s="56"/>
      <c r="L754" s="57"/>
      <c r="M754" s="57"/>
      <c r="N754" s="57"/>
      <c r="O754" s="57"/>
      <c r="P754" s="57"/>
    </row>
    <row r="755" spans="11:16" ht="13" x14ac:dyDescent="0.15">
      <c r="K755" s="56"/>
      <c r="L755" s="57"/>
      <c r="M755" s="57"/>
      <c r="N755" s="57"/>
      <c r="O755" s="57"/>
      <c r="P755" s="57"/>
    </row>
    <row r="756" spans="11:16" ht="13" x14ac:dyDescent="0.15">
      <c r="K756" s="56"/>
      <c r="L756" s="57"/>
      <c r="M756" s="57"/>
      <c r="N756" s="57"/>
      <c r="O756" s="57"/>
      <c r="P756" s="57"/>
    </row>
    <row r="757" spans="11:16" ht="13" x14ac:dyDescent="0.15">
      <c r="K757" s="56"/>
      <c r="L757" s="57"/>
      <c r="M757" s="57"/>
      <c r="N757" s="57"/>
      <c r="O757" s="57"/>
      <c r="P757" s="57"/>
    </row>
    <row r="758" spans="11:16" ht="13" x14ac:dyDescent="0.15">
      <c r="K758" s="56"/>
      <c r="L758" s="57"/>
      <c r="M758" s="57"/>
      <c r="N758" s="57"/>
      <c r="O758" s="57"/>
      <c r="P758" s="57"/>
    </row>
    <row r="759" spans="11:16" ht="13" x14ac:dyDescent="0.15">
      <c r="K759" s="56"/>
      <c r="L759" s="57"/>
      <c r="M759" s="57"/>
      <c r="N759" s="57"/>
      <c r="O759" s="57"/>
      <c r="P759" s="57"/>
    </row>
    <row r="760" spans="11:16" ht="13" x14ac:dyDescent="0.15">
      <c r="K760" s="56"/>
      <c r="L760" s="57"/>
      <c r="M760" s="57"/>
      <c r="N760" s="57"/>
      <c r="O760" s="57"/>
      <c r="P760" s="57"/>
    </row>
    <row r="761" spans="11:16" ht="13" x14ac:dyDescent="0.15">
      <c r="K761" s="56"/>
      <c r="L761" s="57"/>
      <c r="M761" s="57"/>
      <c r="N761" s="57"/>
      <c r="O761" s="57"/>
      <c r="P761" s="57"/>
    </row>
    <row r="762" spans="11:16" ht="13" x14ac:dyDescent="0.15">
      <c r="K762" s="56"/>
      <c r="L762" s="57"/>
      <c r="M762" s="57"/>
      <c r="N762" s="57"/>
      <c r="O762" s="57"/>
      <c r="P762" s="57"/>
    </row>
    <row r="763" spans="11:16" ht="13" x14ac:dyDescent="0.15">
      <c r="K763" s="56"/>
      <c r="L763" s="57"/>
      <c r="M763" s="57"/>
      <c r="N763" s="57"/>
      <c r="O763" s="57"/>
      <c r="P763" s="57"/>
    </row>
    <row r="764" spans="11:16" ht="13" x14ac:dyDescent="0.15">
      <c r="K764" s="56"/>
      <c r="L764" s="57"/>
      <c r="M764" s="57"/>
      <c r="N764" s="57"/>
      <c r="O764" s="57"/>
      <c r="P764" s="57"/>
    </row>
    <row r="765" spans="11:16" ht="13" x14ac:dyDescent="0.15">
      <c r="K765" s="56"/>
      <c r="L765" s="57"/>
      <c r="M765" s="57"/>
      <c r="N765" s="57"/>
      <c r="O765" s="57"/>
      <c r="P765" s="57"/>
    </row>
    <row r="766" spans="11:16" ht="13" x14ac:dyDescent="0.15">
      <c r="K766" s="56"/>
      <c r="L766" s="57"/>
      <c r="M766" s="57"/>
      <c r="N766" s="57"/>
      <c r="O766" s="57"/>
      <c r="P766" s="57"/>
    </row>
    <row r="767" spans="11:16" ht="13" x14ac:dyDescent="0.15">
      <c r="K767" s="56"/>
      <c r="L767" s="57"/>
      <c r="M767" s="57"/>
      <c r="N767" s="57"/>
      <c r="O767" s="57"/>
      <c r="P767" s="57"/>
    </row>
    <row r="768" spans="11:16" ht="13" x14ac:dyDescent="0.15">
      <c r="K768" s="56"/>
      <c r="L768" s="57"/>
      <c r="M768" s="57"/>
      <c r="N768" s="57"/>
      <c r="O768" s="57"/>
      <c r="P768" s="57"/>
    </row>
    <row r="769" spans="11:16" ht="13" x14ac:dyDescent="0.15">
      <c r="K769" s="56"/>
      <c r="L769" s="57"/>
      <c r="M769" s="57"/>
      <c r="N769" s="57"/>
      <c r="O769" s="57"/>
      <c r="P769" s="57"/>
    </row>
    <row r="770" spans="11:16" ht="13" x14ac:dyDescent="0.15">
      <c r="K770" s="56"/>
      <c r="L770" s="57"/>
      <c r="M770" s="57"/>
      <c r="N770" s="57"/>
      <c r="O770" s="57"/>
      <c r="P770" s="57"/>
    </row>
    <row r="771" spans="11:16" ht="13" x14ac:dyDescent="0.15">
      <c r="K771" s="56"/>
      <c r="L771" s="57"/>
      <c r="M771" s="57"/>
      <c r="N771" s="57"/>
      <c r="O771" s="57"/>
      <c r="P771" s="57"/>
    </row>
    <row r="772" spans="11:16" ht="13" x14ac:dyDescent="0.15">
      <c r="K772" s="56"/>
      <c r="L772" s="57"/>
      <c r="M772" s="57"/>
      <c r="N772" s="57"/>
      <c r="O772" s="57"/>
      <c r="P772" s="57"/>
    </row>
    <row r="773" spans="11:16" ht="13" x14ac:dyDescent="0.15">
      <c r="K773" s="56"/>
      <c r="L773" s="57"/>
      <c r="M773" s="57"/>
      <c r="N773" s="57"/>
      <c r="O773" s="57"/>
      <c r="P773" s="57"/>
    </row>
    <row r="774" spans="11:16" ht="13" x14ac:dyDescent="0.15">
      <c r="K774" s="56"/>
      <c r="L774" s="57"/>
      <c r="M774" s="57"/>
      <c r="N774" s="57"/>
      <c r="O774" s="57"/>
      <c r="P774" s="57"/>
    </row>
    <row r="775" spans="11:16" ht="13" x14ac:dyDescent="0.15">
      <c r="K775" s="56"/>
      <c r="L775" s="57"/>
      <c r="M775" s="57"/>
      <c r="N775" s="57"/>
      <c r="O775" s="57"/>
      <c r="P775" s="57"/>
    </row>
    <row r="776" spans="11:16" ht="13" x14ac:dyDescent="0.15">
      <c r="K776" s="56"/>
      <c r="L776" s="57"/>
      <c r="M776" s="57"/>
      <c r="N776" s="57"/>
      <c r="O776" s="57"/>
      <c r="P776" s="57"/>
    </row>
    <row r="777" spans="11:16" ht="13" x14ac:dyDescent="0.15">
      <c r="K777" s="56"/>
      <c r="L777" s="57"/>
      <c r="M777" s="57"/>
      <c r="N777" s="57"/>
      <c r="O777" s="57"/>
      <c r="P777" s="57"/>
    </row>
    <row r="778" spans="11:16" ht="13" x14ac:dyDescent="0.15">
      <c r="K778" s="56"/>
      <c r="L778" s="57"/>
      <c r="M778" s="57"/>
      <c r="N778" s="57"/>
      <c r="O778" s="57"/>
      <c r="P778" s="57"/>
    </row>
    <row r="779" spans="11:16" ht="13" x14ac:dyDescent="0.15">
      <c r="K779" s="56"/>
      <c r="L779" s="57"/>
      <c r="M779" s="57"/>
      <c r="N779" s="57"/>
      <c r="O779" s="57"/>
      <c r="P779" s="57"/>
    </row>
    <row r="780" spans="11:16" ht="13" x14ac:dyDescent="0.15">
      <c r="K780" s="56"/>
      <c r="L780" s="57"/>
      <c r="M780" s="57"/>
      <c r="N780" s="57"/>
      <c r="O780" s="57"/>
      <c r="P780" s="57"/>
    </row>
    <row r="781" spans="11:16" ht="13" x14ac:dyDescent="0.15">
      <c r="K781" s="56"/>
      <c r="L781" s="57"/>
      <c r="M781" s="57"/>
      <c r="N781" s="57"/>
      <c r="O781" s="57"/>
      <c r="P781" s="57"/>
    </row>
    <row r="782" spans="11:16" ht="13" x14ac:dyDescent="0.15">
      <c r="K782" s="56"/>
      <c r="L782" s="57"/>
      <c r="M782" s="57"/>
      <c r="N782" s="57"/>
      <c r="O782" s="57"/>
      <c r="P782" s="57"/>
    </row>
    <row r="783" spans="11:16" ht="13" x14ac:dyDescent="0.15">
      <c r="K783" s="56"/>
      <c r="L783" s="57"/>
      <c r="M783" s="57"/>
      <c r="N783" s="57"/>
      <c r="O783" s="57"/>
      <c r="P783" s="57"/>
    </row>
    <row r="784" spans="11:16" ht="13" x14ac:dyDescent="0.15">
      <c r="K784" s="56"/>
      <c r="L784" s="57"/>
      <c r="M784" s="57"/>
      <c r="N784" s="57"/>
      <c r="O784" s="57"/>
      <c r="P784" s="57"/>
    </row>
    <row r="785" spans="11:16" ht="13" x14ac:dyDescent="0.15">
      <c r="K785" s="56"/>
      <c r="L785" s="57"/>
      <c r="M785" s="57"/>
      <c r="N785" s="57"/>
      <c r="O785" s="57"/>
      <c r="P785" s="57"/>
    </row>
    <row r="786" spans="11:16" ht="13" x14ac:dyDescent="0.15">
      <c r="K786" s="56"/>
      <c r="L786" s="57"/>
      <c r="M786" s="57"/>
      <c r="N786" s="57"/>
      <c r="O786" s="57"/>
      <c r="P786" s="57"/>
    </row>
    <row r="787" spans="11:16" ht="13" x14ac:dyDescent="0.15">
      <c r="K787" s="56"/>
      <c r="L787" s="57"/>
      <c r="M787" s="57"/>
      <c r="N787" s="57"/>
      <c r="O787" s="57"/>
      <c r="P787" s="57"/>
    </row>
    <row r="788" spans="11:16" ht="13" x14ac:dyDescent="0.15">
      <c r="K788" s="56"/>
      <c r="L788" s="57"/>
      <c r="M788" s="57"/>
      <c r="N788" s="57"/>
      <c r="O788" s="57"/>
      <c r="P788" s="57"/>
    </row>
    <row r="789" spans="11:16" ht="13" x14ac:dyDescent="0.15">
      <c r="K789" s="56"/>
      <c r="L789" s="57"/>
      <c r="M789" s="57"/>
      <c r="N789" s="57"/>
      <c r="O789" s="57"/>
      <c r="P789" s="57"/>
    </row>
    <row r="790" spans="11:16" ht="13" x14ac:dyDescent="0.15">
      <c r="K790" s="56"/>
      <c r="L790" s="57"/>
      <c r="M790" s="57"/>
      <c r="N790" s="57"/>
      <c r="O790" s="57"/>
      <c r="P790" s="57"/>
    </row>
    <row r="791" spans="11:16" ht="13" x14ac:dyDescent="0.15">
      <c r="K791" s="56"/>
      <c r="L791" s="57"/>
      <c r="M791" s="57"/>
      <c r="N791" s="57"/>
      <c r="O791" s="57"/>
      <c r="P791" s="57"/>
    </row>
    <row r="792" spans="11:16" ht="13" x14ac:dyDescent="0.15">
      <c r="K792" s="56"/>
      <c r="L792" s="57"/>
      <c r="M792" s="57"/>
      <c r="N792" s="57"/>
      <c r="O792" s="57"/>
      <c r="P792" s="57"/>
    </row>
    <row r="793" spans="11:16" ht="13" x14ac:dyDescent="0.15">
      <c r="K793" s="56"/>
      <c r="L793" s="57"/>
      <c r="M793" s="57"/>
      <c r="N793" s="57"/>
      <c r="O793" s="57"/>
      <c r="P793" s="57"/>
    </row>
    <row r="794" spans="11:16" ht="13" x14ac:dyDescent="0.15">
      <c r="K794" s="56"/>
      <c r="L794" s="57"/>
      <c r="M794" s="57"/>
      <c r="N794" s="57"/>
      <c r="O794" s="57"/>
      <c r="P794" s="57"/>
    </row>
    <row r="795" spans="11:16" ht="13" x14ac:dyDescent="0.15">
      <c r="K795" s="56"/>
      <c r="L795" s="57"/>
      <c r="M795" s="57"/>
      <c r="N795" s="57"/>
      <c r="O795" s="57"/>
      <c r="P795" s="57"/>
    </row>
    <row r="796" spans="11:16" ht="13" x14ac:dyDescent="0.15">
      <c r="K796" s="56"/>
      <c r="L796" s="57"/>
      <c r="M796" s="57"/>
      <c r="N796" s="57"/>
      <c r="O796" s="57"/>
      <c r="P796" s="57"/>
    </row>
    <row r="797" spans="11:16" ht="13" x14ac:dyDescent="0.15">
      <c r="K797" s="56"/>
      <c r="L797" s="57"/>
      <c r="M797" s="57"/>
      <c r="N797" s="57"/>
      <c r="O797" s="57"/>
      <c r="P797" s="57"/>
    </row>
    <row r="798" spans="11:16" ht="13" x14ac:dyDescent="0.15">
      <c r="K798" s="56"/>
      <c r="L798" s="57"/>
      <c r="M798" s="57"/>
      <c r="N798" s="57"/>
      <c r="O798" s="57"/>
      <c r="P798" s="57"/>
    </row>
    <row r="799" spans="11:16" ht="13" x14ac:dyDescent="0.15">
      <c r="K799" s="56"/>
      <c r="L799" s="57"/>
      <c r="M799" s="57"/>
      <c r="N799" s="57"/>
      <c r="O799" s="57"/>
      <c r="P799" s="57"/>
    </row>
    <row r="800" spans="11:16" ht="13" x14ac:dyDescent="0.15">
      <c r="K800" s="56"/>
      <c r="L800" s="57"/>
      <c r="M800" s="57"/>
      <c r="N800" s="57"/>
      <c r="O800" s="57"/>
      <c r="P800" s="57"/>
    </row>
    <row r="801" spans="11:16" ht="13" x14ac:dyDescent="0.15">
      <c r="K801" s="56"/>
      <c r="L801" s="57"/>
      <c r="M801" s="57"/>
      <c r="N801" s="57"/>
      <c r="O801" s="57"/>
      <c r="P801" s="57"/>
    </row>
    <row r="802" spans="11:16" ht="13" x14ac:dyDescent="0.15">
      <c r="K802" s="56"/>
      <c r="L802" s="57"/>
      <c r="M802" s="57"/>
      <c r="N802" s="57"/>
      <c r="O802" s="57"/>
      <c r="P802" s="57"/>
    </row>
    <row r="803" spans="11:16" ht="13" x14ac:dyDescent="0.15">
      <c r="K803" s="56"/>
      <c r="L803" s="57"/>
      <c r="M803" s="57"/>
      <c r="N803" s="57"/>
      <c r="O803" s="57"/>
      <c r="P803" s="57"/>
    </row>
    <row r="804" spans="11:16" ht="13" x14ac:dyDescent="0.15">
      <c r="K804" s="56"/>
      <c r="L804" s="57"/>
      <c r="M804" s="57"/>
      <c r="N804" s="57"/>
      <c r="O804" s="57"/>
      <c r="P804" s="57"/>
    </row>
    <row r="805" spans="11:16" ht="13" x14ac:dyDescent="0.15">
      <c r="K805" s="56"/>
      <c r="L805" s="57"/>
      <c r="M805" s="57"/>
      <c r="N805" s="57"/>
      <c r="O805" s="57"/>
      <c r="P805" s="57"/>
    </row>
    <row r="806" spans="11:16" ht="13" x14ac:dyDescent="0.15">
      <c r="K806" s="56"/>
      <c r="L806" s="57"/>
      <c r="M806" s="57"/>
      <c r="N806" s="57"/>
      <c r="O806" s="57"/>
      <c r="P806" s="57"/>
    </row>
    <row r="807" spans="11:16" ht="13" x14ac:dyDescent="0.15">
      <c r="K807" s="56"/>
      <c r="L807" s="57"/>
      <c r="M807" s="57"/>
      <c r="N807" s="57"/>
      <c r="O807" s="57"/>
      <c r="P807" s="57"/>
    </row>
    <row r="808" spans="11:16" ht="13" x14ac:dyDescent="0.15">
      <c r="K808" s="56"/>
      <c r="L808" s="57"/>
      <c r="M808" s="57"/>
      <c r="N808" s="57"/>
      <c r="O808" s="57"/>
      <c r="P808" s="57"/>
    </row>
    <row r="809" spans="11:16" ht="13" x14ac:dyDescent="0.15">
      <c r="K809" s="56"/>
      <c r="L809" s="57"/>
      <c r="M809" s="57"/>
      <c r="N809" s="57"/>
      <c r="O809" s="57"/>
      <c r="P809" s="57"/>
    </row>
    <row r="810" spans="11:16" ht="13" x14ac:dyDescent="0.15">
      <c r="K810" s="56"/>
      <c r="L810" s="57"/>
      <c r="M810" s="57"/>
      <c r="N810" s="57"/>
      <c r="O810" s="57"/>
      <c r="P810" s="57"/>
    </row>
    <row r="811" spans="11:16" ht="13" x14ac:dyDescent="0.15">
      <c r="K811" s="56"/>
      <c r="L811" s="57"/>
      <c r="M811" s="57"/>
      <c r="N811" s="57"/>
      <c r="O811" s="57"/>
      <c r="P811" s="57"/>
    </row>
    <row r="812" spans="11:16" ht="13" x14ac:dyDescent="0.15">
      <c r="K812" s="56"/>
      <c r="L812" s="57"/>
      <c r="M812" s="57"/>
      <c r="N812" s="57"/>
      <c r="O812" s="57"/>
      <c r="P812" s="57"/>
    </row>
    <row r="813" spans="11:16" ht="13" x14ac:dyDescent="0.15">
      <c r="K813" s="56"/>
      <c r="L813" s="57"/>
      <c r="M813" s="57"/>
      <c r="N813" s="57"/>
      <c r="O813" s="57"/>
      <c r="P813" s="57"/>
    </row>
    <row r="814" spans="11:16" ht="13" x14ac:dyDescent="0.15">
      <c r="K814" s="56"/>
      <c r="L814" s="57"/>
      <c r="M814" s="57"/>
      <c r="N814" s="57"/>
      <c r="O814" s="57"/>
      <c r="P814" s="57"/>
    </row>
    <row r="815" spans="11:16" ht="13" x14ac:dyDescent="0.15">
      <c r="K815" s="56"/>
      <c r="L815" s="57"/>
      <c r="M815" s="57"/>
      <c r="N815" s="57"/>
      <c r="O815" s="57"/>
      <c r="P815" s="57"/>
    </row>
    <row r="816" spans="11:16" ht="13" x14ac:dyDescent="0.15">
      <c r="K816" s="56"/>
      <c r="L816" s="57"/>
      <c r="M816" s="57"/>
      <c r="N816" s="57"/>
      <c r="O816" s="57"/>
      <c r="P816" s="57"/>
    </row>
    <row r="817" spans="11:16" ht="13" x14ac:dyDescent="0.15">
      <c r="K817" s="56"/>
      <c r="L817" s="57"/>
      <c r="M817" s="57"/>
      <c r="N817" s="57"/>
      <c r="O817" s="57"/>
      <c r="P817" s="57"/>
    </row>
    <row r="818" spans="11:16" ht="13" x14ac:dyDescent="0.15">
      <c r="K818" s="56"/>
      <c r="L818" s="57"/>
      <c r="M818" s="57"/>
      <c r="N818" s="57"/>
      <c r="O818" s="57"/>
      <c r="P818" s="57"/>
    </row>
    <row r="819" spans="11:16" ht="13" x14ac:dyDescent="0.15">
      <c r="K819" s="56"/>
      <c r="L819" s="57"/>
      <c r="M819" s="57"/>
      <c r="N819" s="57"/>
      <c r="O819" s="57"/>
      <c r="P819" s="57"/>
    </row>
    <row r="820" spans="11:16" ht="13" x14ac:dyDescent="0.15">
      <c r="K820" s="56"/>
      <c r="L820" s="57"/>
      <c r="M820" s="57"/>
      <c r="N820" s="57"/>
      <c r="O820" s="57"/>
      <c r="P820" s="57"/>
    </row>
    <row r="821" spans="11:16" ht="13" x14ac:dyDescent="0.15">
      <c r="K821" s="56"/>
      <c r="L821" s="57"/>
      <c r="M821" s="57"/>
      <c r="N821" s="57"/>
      <c r="O821" s="57"/>
      <c r="P821" s="57"/>
    </row>
    <row r="822" spans="11:16" ht="13" x14ac:dyDescent="0.15">
      <c r="K822" s="56"/>
      <c r="L822" s="57"/>
      <c r="M822" s="57"/>
      <c r="N822" s="57"/>
      <c r="O822" s="57"/>
      <c r="P822" s="57"/>
    </row>
    <row r="823" spans="11:16" ht="13" x14ac:dyDescent="0.15">
      <c r="K823" s="56"/>
      <c r="L823" s="57"/>
      <c r="M823" s="57"/>
      <c r="N823" s="57"/>
      <c r="O823" s="57"/>
      <c r="P823" s="57"/>
    </row>
    <row r="824" spans="11:16" ht="13" x14ac:dyDescent="0.15">
      <c r="K824" s="56"/>
      <c r="L824" s="57"/>
      <c r="M824" s="57"/>
      <c r="N824" s="57"/>
      <c r="O824" s="57"/>
      <c r="P824" s="57"/>
    </row>
    <row r="825" spans="11:16" ht="13" x14ac:dyDescent="0.15">
      <c r="K825" s="56"/>
      <c r="L825" s="57"/>
      <c r="M825" s="57"/>
      <c r="N825" s="57"/>
      <c r="O825" s="57"/>
      <c r="P825" s="57"/>
    </row>
    <row r="826" spans="11:16" ht="13" x14ac:dyDescent="0.15">
      <c r="K826" s="56"/>
      <c r="L826" s="57"/>
      <c r="M826" s="57"/>
      <c r="N826" s="57"/>
      <c r="O826" s="57"/>
      <c r="P826" s="57"/>
    </row>
    <row r="827" spans="11:16" ht="13" x14ac:dyDescent="0.15">
      <c r="K827" s="56"/>
      <c r="L827" s="57"/>
      <c r="M827" s="57"/>
      <c r="N827" s="57"/>
      <c r="O827" s="57"/>
      <c r="P827" s="57"/>
    </row>
    <row r="828" spans="11:16" ht="13" x14ac:dyDescent="0.15">
      <c r="K828" s="56"/>
      <c r="L828" s="57"/>
      <c r="M828" s="57"/>
      <c r="N828" s="57"/>
      <c r="O828" s="57"/>
      <c r="P828" s="57"/>
    </row>
    <row r="829" spans="11:16" ht="13" x14ac:dyDescent="0.15">
      <c r="K829" s="56"/>
      <c r="L829" s="57"/>
      <c r="M829" s="57"/>
      <c r="N829" s="57"/>
      <c r="O829" s="57"/>
      <c r="P829" s="57"/>
    </row>
    <row r="830" spans="11:16" ht="13" x14ac:dyDescent="0.15">
      <c r="K830" s="56"/>
      <c r="L830" s="57"/>
      <c r="M830" s="57"/>
      <c r="N830" s="57"/>
      <c r="O830" s="57"/>
      <c r="P830" s="57"/>
    </row>
    <row r="831" spans="11:16" ht="13" x14ac:dyDescent="0.15">
      <c r="K831" s="56"/>
      <c r="L831" s="57"/>
      <c r="M831" s="57"/>
      <c r="N831" s="57"/>
      <c r="O831" s="57"/>
      <c r="P831" s="57"/>
    </row>
    <row r="832" spans="11:16" ht="13" x14ac:dyDescent="0.15">
      <c r="K832" s="56"/>
      <c r="L832" s="57"/>
      <c r="M832" s="57"/>
      <c r="N832" s="57"/>
      <c r="O832" s="57"/>
      <c r="P832" s="57"/>
    </row>
    <row r="833" spans="11:16" ht="13" x14ac:dyDescent="0.15">
      <c r="K833" s="56"/>
      <c r="L833" s="57"/>
      <c r="M833" s="57"/>
      <c r="N833" s="57"/>
      <c r="O833" s="57"/>
      <c r="P833" s="57"/>
    </row>
    <row r="834" spans="11:16" ht="13" x14ac:dyDescent="0.15">
      <c r="K834" s="56"/>
      <c r="L834" s="57"/>
      <c r="M834" s="57"/>
      <c r="N834" s="57"/>
      <c r="O834" s="57"/>
      <c r="P834" s="57"/>
    </row>
    <row r="835" spans="11:16" ht="13" x14ac:dyDescent="0.15">
      <c r="K835" s="56"/>
      <c r="L835" s="57"/>
      <c r="M835" s="57"/>
      <c r="N835" s="57"/>
      <c r="O835" s="57"/>
      <c r="P835" s="57"/>
    </row>
    <row r="836" spans="11:16" ht="13" x14ac:dyDescent="0.15">
      <c r="K836" s="56"/>
      <c r="L836" s="57"/>
      <c r="M836" s="57"/>
      <c r="N836" s="57"/>
      <c r="O836" s="57"/>
      <c r="P836" s="57"/>
    </row>
    <row r="837" spans="11:16" ht="13" x14ac:dyDescent="0.15">
      <c r="K837" s="56"/>
      <c r="L837" s="57"/>
      <c r="M837" s="57"/>
      <c r="N837" s="57"/>
      <c r="O837" s="57"/>
      <c r="P837" s="57"/>
    </row>
    <row r="838" spans="11:16" ht="13" x14ac:dyDescent="0.15">
      <c r="K838" s="56"/>
      <c r="L838" s="57"/>
      <c r="M838" s="57"/>
      <c r="N838" s="57"/>
      <c r="O838" s="57"/>
      <c r="P838" s="57"/>
    </row>
    <row r="839" spans="11:16" ht="13" x14ac:dyDescent="0.15">
      <c r="K839" s="56"/>
      <c r="L839" s="57"/>
      <c r="M839" s="57"/>
      <c r="N839" s="57"/>
      <c r="O839" s="57"/>
      <c r="P839" s="57"/>
    </row>
    <row r="840" spans="11:16" ht="13" x14ac:dyDescent="0.15">
      <c r="K840" s="56"/>
      <c r="L840" s="57"/>
      <c r="M840" s="57"/>
      <c r="N840" s="57"/>
      <c r="O840" s="57"/>
      <c r="P840" s="57"/>
    </row>
    <row r="841" spans="11:16" ht="13" x14ac:dyDescent="0.15">
      <c r="K841" s="56"/>
      <c r="L841" s="57"/>
      <c r="M841" s="57"/>
      <c r="N841" s="57"/>
      <c r="O841" s="57"/>
      <c r="P841" s="57"/>
    </row>
    <row r="842" spans="11:16" ht="13" x14ac:dyDescent="0.15">
      <c r="K842" s="56"/>
      <c r="L842" s="57"/>
      <c r="M842" s="57"/>
      <c r="N842" s="57"/>
      <c r="O842" s="57"/>
      <c r="P842" s="57"/>
    </row>
    <row r="843" spans="11:16" ht="13" x14ac:dyDescent="0.15">
      <c r="K843" s="56"/>
      <c r="L843" s="57"/>
      <c r="M843" s="57"/>
      <c r="N843" s="57"/>
      <c r="O843" s="57"/>
      <c r="P843" s="57"/>
    </row>
    <row r="844" spans="11:16" ht="13" x14ac:dyDescent="0.15">
      <c r="K844" s="56"/>
      <c r="L844" s="57"/>
      <c r="M844" s="57"/>
      <c r="N844" s="57"/>
      <c r="O844" s="57"/>
      <c r="P844" s="57"/>
    </row>
    <row r="845" spans="11:16" ht="13" x14ac:dyDescent="0.15">
      <c r="K845" s="56"/>
      <c r="L845" s="57"/>
      <c r="M845" s="57"/>
      <c r="N845" s="57"/>
      <c r="O845" s="57"/>
      <c r="P845" s="57"/>
    </row>
    <row r="846" spans="11:16" ht="13" x14ac:dyDescent="0.15">
      <c r="K846" s="56"/>
      <c r="L846" s="57"/>
      <c r="M846" s="57"/>
      <c r="N846" s="57"/>
      <c r="O846" s="57"/>
      <c r="P846" s="57"/>
    </row>
    <row r="847" spans="11:16" ht="13" x14ac:dyDescent="0.15">
      <c r="K847" s="56"/>
      <c r="L847" s="57"/>
      <c r="M847" s="57"/>
      <c r="N847" s="57"/>
      <c r="O847" s="57"/>
      <c r="P847" s="57"/>
    </row>
    <row r="848" spans="11:16" ht="13" x14ac:dyDescent="0.15">
      <c r="K848" s="56"/>
      <c r="L848" s="57"/>
      <c r="M848" s="57"/>
      <c r="N848" s="57"/>
      <c r="O848" s="57"/>
      <c r="P848" s="57"/>
    </row>
    <row r="849" spans="11:16" ht="13" x14ac:dyDescent="0.15">
      <c r="K849" s="56"/>
      <c r="L849" s="57"/>
      <c r="M849" s="57"/>
      <c r="N849" s="57"/>
      <c r="O849" s="57"/>
      <c r="P849" s="57"/>
    </row>
    <row r="850" spans="11:16" ht="13" x14ac:dyDescent="0.15">
      <c r="K850" s="56"/>
      <c r="L850" s="57"/>
      <c r="M850" s="57"/>
      <c r="N850" s="57"/>
      <c r="O850" s="57"/>
      <c r="P850" s="57"/>
    </row>
    <row r="851" spans="11:16" ht="13" x14ac:dyDescent="0.15">
      <c r="K851" s="56"/>
      <c r="L851" s="57"/>
      <c r="M851" s="57"/>
      <c r="N851" s="57"/>
      <c r="O851" s="57"/>
      <c r="P851" s="57"/>
    </row>
    <row r="852" spans="11:16" ht="13" x14ac:dyDescent="0.15">
      <c r="K852" s="56"/>
      <c r="L852" s="57"/>
      <c r="M852" s="57"/>
      <c r="N852" s="57"/>
      <c r="O852" s="57"/>
      <c r="P852" s="57"/>
    </row>
    <row r="853" spans="11:16" ht="13" x14ac:dyDescent="0.15">
      <c r="K853" s="56"/>
      <c r="L853" s="57"/>
      <c r="M853" s="57"/>
      <c r="N853" s="57"/>
      <c r="O853" s="57"/>
      <c r="P853" s="57"/>
    </row>
    <row r="854" spans="11:16" ht="13" x14ac:dyDescent="0.15">
      <c r="K854" s="56"/>
      <c r="L854" s="57"/>
      <c r="M854" s="57"/>
      <c r="N854" s="57"/>
      <c r="O854" s="57"/>
      <c r="P854" s="57"/>
    </row>
    <row r="855" spans="11:16" ht="13" x14ac:dyDescent="0.15">
      <c r="K855" s="56"/>
      <c r="L855" s="57"/>
      <c r="M855" s="57"/>
      <c r="N855" s="57"/>
      <c r="O855" s="57"/>
      <c r="P855" s="57"/>
    </row>
    <row r="856" spans="11:16" ht="13" x14ac:dyDescent="0.15">
      <c r="K856" s="56"/>
      <c r="L856" s="57"/>
      <c r="M856" s="57"/>
      <c r="N856" s="57"/>
      <c r="O856" s="57"/>
      <c r="P856" s="57"/>
    </row>
    <row r="857" spans="11:16" ht="13" x14ac:dyDescent="0.15">
      <c r="K857" s="56"/>
      <c r="L857" s="57"/>
      <c r="M857" s="57"/>
      <c r="N857" s="57"/>
      <c r="O857" s="57"/>
      <c r="P857" s="57"/>
    </row>
    <row r="858" spans="11:16" ht="13" x14ac:dyDescent="0.15">
      <c r="K858" s="56"/>
      <c r="L858" s="57"/>
      <c r="M858" s="57"/>
      <c r="N858" s="57"/>
      <c r="O858" s="57"/>
      <c r="P858" s="57"/>
    </row>
    <row r="859" spans="11:16" ht="13" x14ac:dyDescent="0.15">
      <c r="K859" s="56"/>
      <c r="L859" s="57"/>
      <c r="M859" s="57"/>
      <c r="N859" s="57"/>
      <c r="O859" s="57"/>
      <c r="P859" s="57"/>
    </row>
    <row r="860" spans="11:16" ht="13" x14ac:dyDescent="0.15">
      <c r="K860" s="56"/>
      <c r="L860" s="57"/>
      <c r="M860" s="57"/>
      <c r="N860" s="57"/>
      <c r="O860" s="57"/>
      <c r="P860" s="57"/>
    </row>
    <row r="861" spans="11:16" ht="13" x14ac:dyDescent="0.15">
      <c r="K861" s="56"/>
      <c r="L861" s="57"/>
      <c r="M861" s="57"/>
      <c r="N861" s="57"/>
      <c r="O861" s="57"/>
      <c r="P861" s="57"/>
    </row>
    <row r="862" spans="11:16" ht="13" x14ac:dyDescent="0.15">
      <c r="K862" s="56"/>
      <c r="L862" s="57"/>
      <c r="M862" s="57"/>
      <c r="N862" s="57"/>
      <c r="O862" s="57"/>
      <c r="P862" s="57"/>
    </row>
    <row r="863" spans="11:16" ht="13" x14ac:dyDescent="0.15">
      <c r="K863" s="56"/>
      <c r="L863" s="57"/>
      <c r="M863" s="57"/>
      <c r="N863" s="57"/>
      <c r="O863" s="57"/>
      <c r="P863" s="57"/>
    </row>
    <row r="864" spans="11:16" ht="13" x14ac:dyDescent="0.15">
      <c r="K864" s="56"/>
      <c r="L864" s="57"/>
      <c r="M864" s="57"/>
      <c r="N864" s="57"/>
      <c r="O864" s="57"/>
      <c r="P864" s="57"/>
    </row>
    <row r="865" spans="11:16" ht="13" x14ac:dyDescent="0.15">
      <c r="K865" s="56"/>
      <c r="L865" s="57"/>
      <c r="M865" s="57"/>
      <c r="N865" s="57"/>
      <c r="O865" s="57"/>
      <c r="P865" s="57"/>
    </row>
    <row r="866" spans="11:16" ht="13" x14ac:dyDescent="0.15">
      <c r="K866" s="56"/>
      <c r="L866" s="57"/>
      <c r="M866" s="57"/>
      <c r="N866" s="57"/>
      <c r="O866" s="57"/>
      <c r="P866" s="57"/>
    </row>
    <row r="867" spans="11:16" ht="13" x14ac:dyDescent="0.15">
      <c r="K867" s="56"/>
      <c r="L867" s="57"/>
      <c r="M867" s="57"/>
      <c r="N867" s="57"/>
      <c r="O867" s="57"/>
      <c r="P867" s="57"/>
    </row>
    <row r="868" spans="11:16" ht="13" x14ac:dyDescent="0.15">
      <c r="K868" s="56"/>
      <c r="L868" s="57"/>
      <c r="M868" s="57"/>
      <c r="N868" s="57"/>
      <c r="O868" s="57"/>
      <c r="P868" s="57"/>
    </row>
    <row r="869" spans="11:16" ht="13" x14ac:dyDescent="0.15">
      <c r="K869" s="56"/>
      <c r="L869" s="57"/>
      <c r="M869" s="57"/>
      <c r="N869" s="57"/>
      <c r="O869" s="57"/>
      <c r="P869" s="57"/>
    </row>
    <row r="870" spans="11:16" ht="13" x14ac:dyDescent="0.15">
      <c r="K870" s="56"/>
      <c r="L870" s="57"/>
      <c r="M870" s="57"/>
      <c r="N870" s="57"/>
      <c r="O870" s="57"/>
      <c r="P870" s="57"/>
    </row>
    <row r="871" spans="11:16" ht="13" x14ac:dyDescent="0.15">
      <c r="K871" s="56"/>
      <c r="L871" s="57"/>
      <c r="M871" s="57"/>
      <c r="N871" s="57"/>
      <c r="O871" s="57"/>
      <c r="P871" s="57"/>
    </row>
    <row r="872" spans="11:16" ht="13" x14ac:dyDescent="0.15">
      <c r="K872" s="56"/>
      <c r="L872" s="57"/>
      <c r="M872" s="57"/>
      <c r="N872" s="57"/>
      <c r="O872" s="57"/>
      <c r="P872" s="57"/>
    </row>
    <row r="873" spans="11:16" ht="13" x14ac:dyDescent="0.15">
      <c r="K873" s="56"/>
      <c r="L873" s="57"/>
      <c r="M873" s="57"/>
      <c r="N873" s="57"/>
      <c r="O873" s="57"/>
      <c r="P873" s="57"/>
    </row>
    <row r="874" spans="11:16" ht="13" x14ac:dyDescent="0.15">
      <c r="K874" s="56"/>
      <c r="L874" s="57"/>
      <c r="M874" s="57"/>
      <c r="N874" s="57"/>
      <c r="O874" s="57"/>
      <c r="P874" s="57"/>
    </row>
    <row r="875" spans="11:16" ht="13" x14ac:dyDescent="0.15">
      <c r="K875" s="56"/>
      <c r="L875" s="57"/>
      <c r="M875" s="57"/>
      <c r="N875" s="57"/>
      <c r="O875" s="57"/>
      <c r="P875" s="57"/>
    </row>
    <row r="876" spans="11:16" ht="13" x14ac:dyDescent="0.15">
      <c r="K876" s="56"/>
      <c r="L876" s="57"/>
      <c r="M876" s="57"/>
      <c r="N876" s="57"/>
      <c r="O876" s="57"/>
      <c r="P876" s="57"/>
    </row>
    <row r="877" spans="11:16" ht="13" x14ac:dyDescent="0.15">
      <c r="K877" s="56"/>
      <c r="L877" s="57"/>
      <c r="M877" s="57"/>
      <c r="N877" s="57"/>
      <c r="O877" s="57"/>
      <c r="P877" s="57"/>
    </row>
    <row r="878" spans="11:16" ht="13" x14ac:dyDescent="0.15">
      <c r="K878" s="56"/>
      <c r="L878" s="57"/>
      <c r="M878" s="57"/>
      <c r="N878" s="57"/>
      <c r="O878" s="57"/>
      <c r="P878" s="57"/>
    </row>
    <row r="879" spans="11:16" ht="13" x14ac:dyDescent="0.15">
      <c r="K879" s="56"/>
      <c r="L879" s="57"/>
      <c r="M879" s="57"/>
      <c r="N879" s="57"/>
      <c r="O879" s="57"/>
      <c r="P879" s="57"/>
    </row>
    <row r="880" spans="11:16" ht="13" x14ac:dyDescent="0.15">
      <c r="K880" s="56"/>
      <c r="L880" s="57"/>
      <c r="M880" s="57"/>
      <c r="N880" s="57"/>
      <c r="O880" s="57"/>
      <c r="P880" s="57"/>
    </row>
    <row r="881" spans="11:16" ht="13" x14ac:dyDescent="0.15">
      <c r="K881" s="56"/>
      <c r="L881" s="57"/>
      <c r="M881" s="57"/>
      <c r="N881" s="57"/>
      <c r="O881" s="57"/>
      <c r="P881" s="57"/>
    </row>
    <row r="882" spans="11:16" ht="13" x14ac:dyDescent="0.15">
      <c r="K882" s="56"/>
      <c r="L882" s="57"/>
      <c r="M882" s="57"/>
      <c r="N882" s="57"/>
      <c r="O882" s="57"/>
      <c r="P882" s="57"/>
    </row>
    <row r="883" spans="11:16" ht="13" x14ac:dyDescent="0.15">
      <c r="K883" s="56"/>
      <c r="L883" s="57"/>
      <c r="M883" s="57"/>
      <c r="N883" s="57"/>
      <c r="O883" s="57"/>
      <c r="P883" s="57"/>
    </row>
    <row r="884" spans="11:16" ht="13" x14ac:dyDescent="0.15">
      <c r="K884" s="56"/>
      <c r="L884" s="57"/>
      <c r="M884" s="57"/>
      <c r="N884" s="57"/>
      <c r="O884" s="57"/>
      <c r="P884" s="57"/>
    </row>
    <row r="885" spans="11:16" ht="13" x14ac:dyDescent="0.15">
      <c r="K885" s="56"/>
      <c r="L885" s="57"/>
      <c r="M885" s="57"/>
      <c r="N885" s="57"/>
      <c r="O885" s="57"/>
      <c r="P885" s="57"/>
    </row>
    <row r="886" spans="11:16" ht="13" x14ac:dyDescent="0.15">
      <c r="K886" s="56"/>
      <c r="L886" s="57"/>
      <c r="M886" s="57"/>
      <c r="N886" s="57"/>
      <c r="O886" s="57"/>
      <c r="P886" s="57"/>
    </row>
    <row r="887" spans="11:16" ht="13" x14ac:dyDescent="0.15">
      <c r="K887" s="56"/>
      <c r="L887" s="57"/>
      <c r="M887" s="57"/>
      <c r="N887" s="57"/>
      <c r="O887" s="57"/>
      <c r="P887" s="57"/>
    </row>
    <row r="888" spans="11:16" ht="13" x14ac:dyDescent="0.15">
      <c r="K888" s="56"/>
      <c r="L888" s="57"/>
      <c r="M888" s="57"/>
      <c r="N888" s="57"/>
      <c r="O888" s="57"/>
      <c r="P888" s="57"/>
    </row>
    <row r="889" spans="11:16" ht="13" x14ac:dyDescent="0.15">
      <c r="K889" s="56"/>
      <c r="L889" s="57"/>
      <c r="M889" s="57"/>
      <c r="N889" s="57"/>
      <c r="O889" s="57"/>
      <c r="P889" s="57"/>
    </row>
    <row r="890" spans="11:16" ht="13" x14ac:dyDescent="0.15">
      <c r="K890" s="56"/>
      <c r="L890" s="57"/>
      <c r="M890" s="57"/>
      <c r="N890" s="57"/>
      <c r="O890" s="57"/>
      <c r="P890" s="57"/>
    </row>
    <row r="891" spans="11:16" ht="13" x14ac:dyDescent="0.15">
      <c r="K891" s="56"/>
      <c r="L891" s="57"/>
      <c r="M891" s="57"/>
      <c r="N891" s="57"/>
      <c r="O891" s="57"/>
      <c r="P891" s="57"/>
    </row>
    <row r="892" spans="11:16" ht="13" x14ac:dyDescent="0.15">
      <c r="K892" s="56"/>
      <c r="L892" s="57"/>
      <c r="M892" s="57"/>
      <c r="N892" s="57"/>
      <c r="O892" s="57"/>
      <c r="P892" s="57"/>
    </row>
    <row r="893" spans="11:16" ht="13" x14ac:dyDescent="0.15">
      <c r="K893" s="56"/>
      <c r="L893" s="57"/>
      <c r="M893" s="57"/>
      <c r="N893" s="57"/>
      <c r="O893" s="57"/>
      <c r="P893" s="57"/>
    </row>
    <row r="894" spans="11:16" ht="13" x14ac:dyDescent="0.15">
      <c r="K894" s="56"/>
      <c r="L894" s="57"/>
      <c r="M894" s="57"/>
      <c r="N894" s="57"/>
      <c r="O894" s="57"/>
      <c r="P894" s="57"/>
    </row>
    <row r="895" spans="11:16" ht="13" x14ac:dyDescent="0.15">
      <c r="K895" s="56"/>
      <c r="L895" s="57"/>
      <c r="M895" s="57"/>
      <c r="N895" s="57"/>
      <c r="O895" s="57"/>
      <c r="P895" s="57"/>
    </row>
    <row r="896" spans="11:16" ht="13" x14ac:dyDescent="0.15">
      <c r="K896" s="56"/>
      <c r="L896" s="57"/>
      <c r="M896" s="57"/>
      <c r="N896" s="57"/>
      <c r="O896" s="57"/>
      <c r="P896" s="57"/>
    </row>
    <row r="897" spans="11:16" ht="13" x14ac:dyDescent="0.15">
      <c r="K897" s="56"/>
      <c r="L897" s="57"/>
      <c r="M897" s="57"/>
      <c r="N897" s="57"/>
      <c r="O897" s="57"/>
      <c r="P897" s="57"/>
    </row>
    <row r="898" spans="11:16" ht="13" x14ac:dyDescent="0.15">
      <c r="K898" s="56"/>
      <c r="L898" s="57"/>
      <c r="M898" s="57"/>
      <c r="N898" s="57"/>
      <c r="O898" s="57"/>
      <c r="P898" s="57"/>
    </row>
    <row r="899" spans="11:16" ht="13" x14ac:dyDescent="0.15">
      <c r="K899" s="56"/>
      <c r="L899" s="57"/>
      <c r="M899" s="57"/>
      <c r="N899" s="57"/>
      <c r="O899" s="57"/>
      <c r="P899" s="57"/>
    </row>
    <row r="900" spans="11:16" ht="13" x14ac:dyDescent="0.15">
      <c r="K900" s="56"/>
      <c r="L900" s="57"/>
      <c r="M900" s="57"/>
      <c r="N900" s="57"/>
      <c r="O900" s="57"/>
      <c r="P900" s="57"/>
    </row>
    <row r="901" spans="11:16" ht="13" x14ac:dyDescent="0.15">
      <c r="K901" s="56"/>
      <c r="L901" s="57"/>
      <c r="M901" s="57"/>
      <c r="N901" s="57"/>
      <c r="O901" s="57"/>
      <c r="P901" s="57"/>
    </row>
    <row r="902" spans="11:16" ht="13" x14ac:dyDescent="0.15">
      <c r="K902" s="56"/>
      <c r="L902" s="57"/>
      <c r="M902" s="57"/>
      <c r="N902" s="57"/>
      <c r="O902" s="57"/>
      <c r="P902" s="57"/>
    </row>
    <row r="903" spans="11:16" ht="13" x14ac:dyDescent="0.15">
      <c r="K903" s="56"/>
      <c r="L903" s="57"/>
      <c r="M903" s="57"/>
      <c r="N903" s="57"/>
      <c r="O903" s="57"/>
      <c r="P903" s="57"/>
    </row>
    <row r="904" spans="11:16" ht="13" x14ac:dyDescent="0.15">
      <c r="K904" s="56"/>
      <c r="L904" s="57"/>
      <c r="M904" s="57"/>
      <c r="N904" s="57"/>
      <c r="O904" s="57"/>
      <c r="P904" s="57"/>
    </row>
    <row r="905" spans="11:16" ht="13" x14ac:dyDescent="0.15">
      <c r="K905" s="56"/>
      <c r="L905" s="57"/>
      <c r="M905" s="57"/>
      <c r="N905" s="57"/>
      <c r="O905" s="57"/>
      <c r="P905" s="57"/>
    </row>
    <row r="906" spans="11:16" ht="13" x14ac:dyDescent="0.15">
      <c r="K906" s="56"/>
      <c r="L906" s="57"/>
      <c r="M906" s="57"/>
      <c r="N906" s="57"/>
      <c r="O906" s="57"/>
      <c r="P906" s="57"/>
    </row>
    <row r="907" spans="11:16" ht="13" x14ac:dyDescent="0.15">
      <c r="K907" s="56"/>
      <c r="L907" s="57"/>
      <c r="M907" s="57"/>
      <c r="N907" s="57"/>
      <c r="O907" s="57"/>
      <c r="P907" s="57"/>
    </row>
    <row r="908" spans="11:16" ht="13" x14ac:dyDescent="0.15">
      <c r="K908" s="56"/>
      <c r="L908" s="57"/>
      <c r="M908" s="57"/>
      <c r="N908" s="57"/>
      <c r="O908" s="57"/>
      <c r="P908" s="57"/>
    </row>
    <row r="909" spans="11:16" ht="13" x14ac:dyDescent="0.15">
      <c r="K909" s="56"/>
      <c r="L909" s="57"/>
      <c r="M909" s="57"/>
      <c r="N909" s="57"/>
      <c r="O909" s="57"/>
      <c r="P909" s="57"/>
    </row>
    <row r="910" spans="11:16" ht="13" x14ac:dyDescent="0.15">
      <c r="K910" s="56"/>
      <c r="L910" s="57"/>
      <c r="M910" s="57"/>
      <c r="N910" s="57"/>
      <c r="O910" s="57"/>
      <c r="P910" s="57"/>
    </row>
    <row r="911" spans="11:16" ht="13" x14ac:dyDescent="0.15">
      <c r="K911" s="56"/>
      <c r="L911" s="57"/>
      <c r="M911" s="57"/>
      <c r="N911" s="57"/>
      <c r="O911" s="57"/>
      <c r="P911" s="57"/>
    </row>
    <row r="912" spans="11:16" ht="13" x14ac:dyDescent="0.15">
      <c r="K912" s="56"/>
      <c r="L912" s="57"/>
      <c r="M912" s="57"/>
      <c r="N912" s="57"/>
      <c r="O912" s="57"/>
      <c r="P912" s="57"/>
    </row>
    <row r="913" spans="11:16" ht="13" x14ac:dyDescent="0.15">
      <c r="K913" s="56"/>
      <c r="L913" s="57"/>
      <c r="M913" s="57"/>
      <c r="N913" s="57"/>
      <c r="O913" s="57"/>
      <c r="P913" s="57"/>
    </row>
    <row r="914" spans="11:16" ht="13" x14ac:dyDescent="0.15">
      <c r="K914" s="56"/>
      <c r="L914" s="57"/>
      <c r="M914" s="57"/>
      <c r="N914" s="57"/>
      <c r="O914" s="57"/>
      <c r="P914" s="57"/>
    </row>
    <row r="915" spans="11:16" ht="13" x14ac:dyDescent="0.15">
      <c r="K915" s="56"/>
      <c r="L915" s="57"/>
      <c r="M915" s="57"/>
      <c r="N915" s="57"/>
      <c r="O915" s="57"/>
      <c r="P915" s="57"/>
    </row>
    <row r="916" spans="11:16" ht="13" x14ac:dyDescent="0.15">
      <c r="K916" s="56"/>
      <c r="L916" s="57"/>
      <c r="M916" s="57"/>
      <c r="N916" s="57"/>
      <c r="O916" s="57"/>
      <c r="P916" s="57"/>
    </row>
    <row r="917" spans="11:16" ht="13" x14ac:dyDescent="0.15">
      <c r="K917" s="56"/>
      <c r="L917" s="57"/>
      <c r="M917" s="57"/>
      <c r="N917" s="57"/>
      <c r="O917" s="57"/>
      <c r="P917" s="57"/>
    </row>
    <row r="918" spans="11:16" ht="13" x14ac:dyDescent="0.15">
      <c r="K918" s="56"/>
      <c r="L918" s="57"/>
      <c r="M918" s="57"/>
      <c r="N918" s="57"/>
      <c r="O918" s="57"/>
      <c r="P918" s="57"/>
    </row>
    <row r="919" spans="11:16" ht="13" x14ac:dyDescent="0.15">
      <c r="K919" s="56"/>
      <c r="L919" s="57"/>
      <c r="M919" s="57"/>
      <c r="N919" s="57"/>
      <c r="O919" s="57"/>
      <c r="P919" s="57"/>
    </row>
    <row r="920" spans="11:16" ht="13" x14ac:dyDescent="0.15">
      <c r="K920" s="56"/>
      <c r="L920" s="57"/>
      <c r="M920" s="57"/>
      <c r="N920" s="57"/>
      <c r="O920" s="57"/>
      <c r="P920" s="57"/>
    </row>
    <row r="921" spans="11:16" ht="13" x14ac:dyDescent="0.15">
      <c r="K921" s="56"/>
      <c r="L921" s="57"/>
      <c r="M921" s="57"/>
      <c r="N921" s="57"/>
      <c r="O921" s="57"/>
      <c r="P921" s="57"/>
    </row>
    <row r="922" spans="11:16" ht="13" x14ac:dyDescent="0.15">
      <c r="K922" s="56"/>
      <c r="L922" s="57"/>
      <c r="M922" s="57"/>
      <c r="N922" s="57"/>
      <c r="O922" s="57"/>
      <c r="P922" s="57"/>
    </row>
    <row r="923" spans="11:16" ht="13" x14ac:dyDescent="0.15">
      <c r="K923" s="56"/>
      <c r="L923" s="57"/>
      <c r="M923" s="57"/>
      <c r="N923" s="57"/>
      <c r="O923" s="57"/>
      <c r="P923" s="57"/>
    </row>
    <row r="924" spans="11:16" ht="13" x14ac:dyDescent="0.15">
      <c r="K924" s="56"/>
      <c r="L924" s="57"/>
      <c r="M924" s="57"/>
      <c r="N924" s="57"/>
      <c r="O924" s="57"/>
      <c r="P924" s="57"/>
    </row>
    <row r="925" spans="11:16" ht="13" x14ac:dyDescent="0.15">
      <c r="K925" s="56"/>
      <c r="L925" s="57"/>
      <c r="M925" s="57"/>
      <c r="N925" s="57"/>
      <c r="O925" s="57"/>
      <c r="P925" s="57"/>
    </row>
    <row r="926" spans="11:16" ht="13" x14ac:dyDescent="0.15">
      <c r="K926" s="56"/>
      <c r="L926" s="57"/>
      <c r="M926" s="57"/>
      <c r="N926" s="57"/>
      <c r="O926" s="57"/>
      <c r="P926" s="57"/>
    </row>
    <row r="927" spans="11:16" ht="13" x14ac:dyDescent="0.15">
      <c r="K927" s="56"/>
      <c r="L927" s="57"/>
      <c r="M927" s="57"/>
      <c r="N927" s="57"/>
      <c r="O927" s="57"/>
      <c r="P927" s="57"/>
    </row>
    <row r="928" spans="11:16" ht="13" x14ac:dyDescent="0.15">
      <c r="K928" s="56"/>
      <c r="L928" s="57"/>
      <c r="M928" s="57"/>
      <c r="N928" s="57"/>
      <c r="O928" s="57"/>
      <c r="P928" s="57"/>
    </row>
    <row r="929" spans="11:16" ht="13" x14ac:dyDescent="0.15">
      <c r="K929" s="56"/>
      <c r="L929" s="57"/>
      <c r="M929" s="57"/>
      <c r="N929" s="57"/>
      <c r="O929" s="57"/>
      <c r="P929" s="57"/>
    </row>
    <row r="930" spans="11:16" ht="13" x14ac:dyDescent="0.15">
      <c r="K930" s="56"/>
      <c r="L930" s="57"/>
      <c r="M930" s="57"/>
      <c r="N930" s="57"/>
      <c r="O930" s="57"/>
      <c r="P930" s="57"/>
    </row>
    <row r="931" spans="11:16" ht="13" x14ac:dyDescent="0.15">
      <c r="K931" s="56"/>
      <c r="L931" s="57"/>
      <c r="M931" s="57"/>
      <c r="N931" s="57"/>
      <c r="O931" s="57"/>
      <c r="P931" s="57"/>
    </row>
    <row r="932" spans="11:16" ht="13" x14ac:dyDescent="0.15">
      <c r="K932" s="56"/>
      <c r="L932" s="57"/>
      <c r="M932" s="57"/>
      <c r="N932" s="57"/>
      <c r="O932" s="57"/>
      <c r="P932" s="57"/>
    </row>
    <row r="933" spans="11:16" ht="13" x14ac:dyDescent="0.15">
      <c r="K933" s="56"/>
      <c r="L933" s="57"/>
      <c r="M933" s="57"/>
      <c r="N933" s="57"/>
      <c r="O933" s="57"/>
      <c r="P933" s="57"/>
    </row>
    <row r="934" spans="11:16" ht="13" x14ac:dyDescent="0.15">
      <c r="K934" s="56"/>
      <c r="L934" s="57"/>
      <c r="M934" s="57"/>
      <c r="N934" s="57"/>
      <c r="O934" s="57"/>
      <c r="P934" s="57"/>
    </row>
    <row r="935" spans="11:16" ht="13" x14ac:dyDescent="0.15">
      <c r="K935" s="56"/>
      <c r="L935" s="57"/>
      <c r="M935" s="57"/>
      <c r="N935" s="57"/>
      <c r="O935" s="57"/>
      <c r="P935" s="57"/>
    </row>
    <row r="936" spans="11:16" ht="13" x14ac:dyDescent="0.15">
      <c r="K936" s="56"/>
      <c r="L936" s="57"/>
      <c r="M936" s="57"/>
      <c r="N936" s="57"/>
      <c r="O936" s="57"/>
      <c r="P936" s="57"/>
    </row>
    <row r="937" spans="11:16" ht="13" x14ac:dyDescent="0.15">
      <c r="K937" s="56"/>
      <c r="L937" s="57"/>
      <c r="M937" s="57"/>
      <c r="N937" s="57"/>
      <c r="O937" s="57"/>
      <c r="P937" s="57"/>
    </row>
    <row r="938" spans="11:16" ht="13" x14ac:dyDescent="0.15">
      <c r="K938" s="56"/>
      <c r="L938" s="57"/>
      <c r="M938" s="57"/>
      <c r="N938" s="57"/>
      <c r="O938" s="57"/>
      <c r="P938" s="57"/>
    </row>
    <row r="939" spans="11:16" ht="13" x14ac:dyDescent="0.15">
      <c r="K939" s="56"/>
      <c r="L939" s="57"/>
      <c r="M939" s="57"/>
      <c r="N939" s="57"/>
      <c r="O939" s="57"/>
      <c r="P939" s="57"/>
    </row>
    <row r="940" spans="11:16" ht="13" x14ac:dyDescent="0.15">
      <c r="K940" s="56"/>
      <c r="L940" s="57"/>
      <c r="M940" s="57"/>
      <c r="N940" s="57"/>
      <c r="O940" s="57"/>
      <c r="P940" s="57"/>
    </row>
    <row r="941" spans="11:16" ht="13" x14ac:dyDescent="0.15">
      <c r="K941" s="56"/>
      <c r="L941" s="57"/>
      <c r="M941" s="57"/>
      <c r="N941" s="57"/>
      <c r="O941" s="57"/>
      <c r="P941" s="57"/>
    </row>
    <row r="942" spans="11:16" ht="13" x14ac:dyDescent="0.15">
      <c r="K942" s="56"/>
      <c r="L942" s="57"/>
      <c r="M942" s="57"/>
      <c r="N942" s="57"/>
      <c r="O942" s="57"/>
      <c r="P942" s="57"/>
    </row>
    <row r="943" spans="11:16" ht="13" x14ac:dyDescent="0.15">
      <c r="K943" s="56"/>
      <c r="L943" s="57"/>
      <c r="M943" s="57"/>
      <c r="N943" s="57"/>
      <c r="O943" s="57"/>
      <c r="P943" s="57"/>
    </row>
    <row r="944" spans="11:16" ht="13" x14ac:dyDescent="0.15">
      <c r="K944" s="56"/>
      <c r="L944" s="57"/>
      <c r="M944" s="57"/>
      <c r="N944" s="57"/>
      <c r="O944" s="57"/>
      <c r="P944" s="57"/>
    </row>
    <row r="945" spans="11:16" ht="13" x14ac:dyDescent="0.15">
      <c r="K945" s="56"/>
      <c r="L945" s="57"/>
      <c r="M945" s="57"/>
      <c r="N945" s="57"/>
      <c r="O945" s="57"/>
      <c r="P945" s="57"/>
    </row>
    <row r="946" spans="11:16" ht="13" x14ac:dyDescent="0.15">
      <c r="K946" s="56"/>
      <c r="L946" s="57"/>
      <c r="M946" s="57"/>
      <c r="N946" s="57"/>
      <c r="O946" s="57"/>
      <c r="P946" s="57"/>
    </row>
    <row r="947" spans="11:16" ht="13" x14ac:dyDescent="0.15">
      <c r="K947" s="56"/>
      <c r="L947" s="57"/>
      <c r="M947" s="57"/>
      <c r="N947" s="57"/>
      <c r="O947" s="57"/>
      <c r="P947" s="57"/>
    </row>
    <row r="948" spans="11:16" ht="13" x14ac:dyDescent="0.15">
      <c r="K948" s="56"/>
      <c r="L948" s="57"/>
      <c r="M948" s="57"/>
      <c r="N948" s="57"/>
      <c r="O948" s="57"/>
      <c r="P948" s="57"/>
    </row>
    <row r="949" spans="11:16" ht="13" x14ac:dyDescent="0.15">
      <c r="K949" s="56"/>
      <c r="L949" s="57"/>
      <c r="M949" s="57"/>
      <c r="N949" s="57"/>
      <c r="O949" s="57"/>
      <c r="P949" s="57"/>
    </row>
    <row r="950" spans="11:16" ht="13" x14ac:dyDescent="0.15">
      <c r="K950" s="56"/>
      <c r="L950" s="57"/>
      <c r="M950" s="57"/>
      <c r="N950" s="57"/>
      <c r="O950" s="57"/>
      <c r="P950" s="57"/>
    </row>
    <row r="951" spans="11:16" ht="13" x14ac:dyDescent="0.15">
      <c r="K951" s="56"/>
      <c r="L951" s="57"/>
      <c r="M951" s="57"/>
      <c r="N951" s="57"/>
      <c r="O951" s="57"/>
      <c r="P951" s="57"/>
    </row>
    <row r="952" spans="11:16" ht="13" x14ac:dyDescent="0.15">
      <c r="K952" s="56"/>
      <c r="L952" s="57"/>
      <c r="M952" s="57"/>
      <c r="N952" s="57"/>
      <c r="O952" s="57"/>
      <c r="P952" s="57"/>
    </row>
    <row r="953" spans="11:16" ht="13" x14ac:dyDescent="0.15">
      <c r="K953" s="56"/>
      <c r="L953" s="57"/>
      <c r="M953" s="57"/>
      <c r="N953" s="57"/>
      <c r="O953" s="57"/>
      <c r="P953" s="57"/>
    </row>
    <row r="954" spans="11:16" ht="13" x14ac:dyDescent="0.15">
      <c r="K954" s="56"/>
      <c r="L954" s="57"/>
      <c r="M954" s="57"/>
      <c r="N954" s="57"/>
      <c r="O954" s="57"/>
      <c r="P954" s="57"/>
    </row>
    <row r="955" spans="11:16" ht="13" x14ac:dyDescent="0.15">
      <c r="K955" s="56"/>
      <c r="L955" s="57"/>
      <c r="M955" s="57"/>
      <c r="N955" s="57"/>
      <c r="O955" s="57"/>
      <c r="P955" s="57"/>
    </row>
    <row r="956" spans="11:16" ht="13" x14ac:dyDescent="0.15">
      <c r="K956" s="56"/>
      <c r="L956" s="57"/>
      <c r="M956" s="57"/>
      <c r="N956" s="57"/>
      <c r="O956" s="57"/>
      <c r="P956" s="57"/>
    </row>
    <row r="957" spans="11:16" ht="13" x14ac:dyDescent="0.15">
      <c r="K957" s="56"/>
      <c r="L957" s="57"/>
      <c r="M957" s="57"/>
      <c r="N957" s="57"/>
      <c r="O957" s="57"/>
      <c r="P957" s="57"/>
    </row>
    <row r="958" spans="11:16" ht="13" x14ac:dyDescent="0.15">
      <c r="K958" s="56"/>
      <c r="L958" s="57"/>
      <c r="M958" s="57"/>
      <c r="N958" s="57"/>
      <c r="O958" s="57"/>
      <c r="P958" s="57"/>
    </row>
    <row r="959" spans="11:16" ht="13" x14ac:dyDescent="0.15">
      <c r="K959" s="56"/>
      <c r="L959" s="57"/>
      <c r="M959" s="57"/>
      <c r="N959" s="57"/>
      <c r="O959" s="57"/>
      <c r="P959" s="57"/>
    </row>
    <row r="960" spans="11:16" ht="13" x14ac:dyDescent="0.15">
      <c r="K960" s="56"/>
      <c r="L960" s="57"/>
      <c r="M960" s="57"/>
      <c r="N960" s="57"/>
      <c r="O960" s="57"/>
      <c r="P960" s="57"/>
    </row>
    <row r="961" spans="11:16" ht="13" x14ac:dyDescent="0.15">
      <c r="K961" s="56"/>
      <c r="L961" s="57"/>
      <c r="M961" s="57"/>
      <c r="N961" s="57"/>
      <c r="O961" s="57"/>
      <c r="P961" s="57"/>
    </row>
    <row r="962" spans="11:16" ht="13" x14ac:dyDescent="0.15">
      <c r="K962" s="56"/>
      <c r="L962" s="57"/>
      <c r="M962" s="57"/>
      <c r="N962" s="57"/>
      <c r="O962" s="57"/>
      <c r="P962" s="57"/>
    </row>
    <row r="963" spans="11:16" ht="13" x14ac:dyDescent="0.15">
      <c r="K963" s="56"/>
      <c r="L963" s="57"/>
      <c r="M963" s="57"/>
      <c r="N963" s="57"/>
      <c r="O963" s="57"/>
      <c r="P963" s="57"/>
    </row>
    <row r="964" spans="11:16" ht="13" x14ac:dyDescent="0.15">
      <c r="K964" s="56"/>
      <c r="L964" s="57"/>
      <c r="M964" s="57"/>
      <c r="N964" s="57"/>
      <c r="O964" s="57"/>
      <c r="P964" s="57"/>
    </row>
    <row r="965" spans="11:16" ht="13" x14ac:dyDescent="0.15">
      <c r="K965" s="56"/>
      <c r="L965" s="57"/>
      <c r="M965" s="57"/>
      <c r="N965" s="57"/>
      <c r="O965" s="57"/>
      <c r="P965" s="57"/>
    </row>
    <row r="966" spans="11:16" ht="13" x14ac:dyDescent="0.15">
      <c r="K966" s="56"/>
      <c r="L966" s="57"/>
      <c r="M966" s="57"/>
      <c r="N966" s="57"/>
      <c r="O966" s="57"/>
      <c r="P966" s="57"/>
    </row>
    <row r="967" spans="11:16" ht="13" x14ac:dyDescent="0.15">
      <c r="K967" s="56"/>
      <c r="L967" s="57"/>
      <c r="M967" s="57"/>
      <c r="N967" s="57"/>
      <c r="O967" s="57"/>
      <c r="P967" s="57"/>
    </row>
    <row r="968" spans="11:16" ht="13" x14ac:dyDescent="0.15">
      <c r="K968" s="56"/>
      <c r="L968" s="57"/>
      <c r="M968" s="57"/>
      <c r="N968" s="57"/>
      <c r="O968" s="57"/>
      <c r="P968" s="57"/>
    </row>
    <row r="969" spans="11:16" ht="13" x14ac:dyDescent="0.15">
      <c r="K969" s="56"/>
      <c r="L969" s="57"/>
      <c r="M969" s="57"/>
      <c r="N969" s="57"/>
      <c r="O969" s="57"/>
      <c r="P969" s="57"/>
    </row>
    <row r="970" spans="11:16" ht="13" x14ac:dyDescent="0.15">
      <c r="K970" s="56"/>
      <c r="L970" s="57"/>
      <c r="M970" s="57"/>
      <c r="N970" s="57"/>
      <c r="O970" s="57"/>
      <c r="P970" s="57"/>
    </row>
    <row r="971" spans="11:16" ht="13" x14ac:dyDescent="0.15">
      <c r="K971" s="56"/>
      <c r="L971" s="57"/>
      <c r="M971" s="57"/>
      <c r="N971" s="57"/>
      <c r="O971" s="57"/>
      <c r="P971" s="57"/>
    </row>
    <row r="972" spans="11:16" ht="13" x14ac:dyDescent="0.15">
      <c r="K972" s="56"/>
      <c r="L972" s="57"/>
      <c r="M972" s="57"/>
      <c r="N972" s="57"/>
      <c r="O972" s="57"/>
      <c r="P972" s="57"/>
    </row>
    <row r="973" spans="11:16" ht="13" x14ac:dyDescent="0.15">
      <c r="K973" s="56"/>
      <c r="L973" s="57"/>
      <c r="M973" s="57"/>
      <c r="N973" s="57"/>
      <c r="O973" s="57"/>
      <c r="P973" s="57"/>
    </row>
    <row r="974" spans="11:16" ht="13" x14ac:dyDescent="0.15">
      <c r="K974" s="56"/>
      <c r="L974" s="57"/>
      <c r="M974" s="57"/>
      <c r="N974" s="57"/>
      <c r="O974" s="57"/>
      <c r="P974" s="57"/>
    </row>
    <row r="975" spans="11:16" ht="13" x14ac:dyDescent="0.15">
      <c r="K975" s="56"/>
      <c r="L975" s="57"/>
      <c r="M975" s="57"/>
      <c r="N975" s="57"/>
      <c r="O975" s="57"/>
      <c r="P975" s="57"/>
    </row>
    <row r="976" spans="11:16" ht="13" x14ac:dyDescent="0.15">
      <c r="K976" s="56"/>
      <c r="L976" s="57"/>
      <c r="M976" s="57"/>
      <c r="N976" s="57"/>
      <c r="O976" s="57"/>
      <c r="P976" s="57"/>
    </row>
    <row r="977" spans="11:16" ht="13" x14ac:dyDescent="0.15">
      <c r="K977" s="56"/>
      <c r="L977" s="57"/>
      <c r="M977" s="57"/>
      <c r="N977" s="57"/>
      <c r="O977" s="57"/>
      <c r="P977" s="57"/>
    </row>
    <row r="978" spans="11:16" ht="13" x14ac:dyDescent="0.15">
      <c r="K978" s="56"/>
      <c r="L978" s="57"/>
      <c r="M978" s="57"/>
      <c r="N978" s="57"/>
      <c r="O978" s="57"/>
      <c r="P978" s="57"/>
    </row>
    <row r="979" spans="11:16" ht="13" x14ac:dyDescent="0.15">
      <c r="K979" s="56"/>
      <c r="L979" s="57"/>
      <c r="M979" s="57"/>
      <c r="N979" s="57"/>
      <c r="O979" s="57"/>
      <c r="P979" s="57"/>
    </row>
    <row r="980" spans="11:16" ht="13" x14ac:dyDescent="0.15">
      <c r="K980" s="56"/>
      <c r="L980" s="57"/>
      <c r="M980" s="57"/>
      <c r="N980" s="57"/>
      <c r="O980" s="57"/>
      <c r="P980" s="57"/>
    </row>
    <row r="981" spans="11:16" ht="13" x14ac:dyDescent="0.15">
      <c r="K981" s="56"/>
      <c r="L981" s="57"/>
      <c r="M981" s="57"/>
      <c r="N981" s="57"/>
      <c r="O981" s="57"/>
      <c r="P981" s="57"/>
    </row>
    <row r="982" spans="11:16" ht="13" x14ac:dyDescent="0.15">
      <c r="K982" s="56"/>
      <c r="L982" s="57"/>
      <c r="M982" s="57"/>
      <c r="N982" s="57"/>
      <c r="O982" s="57"/>
      <c r="P982" s="57"/>
    </row>
    <row r="983" spans="11:16" ht="13" x14ac:dyDescent="0.15">
      <c r="K983" s="56"/>
      <c r="L983" s="57"/>
      <c r="M983" s="57"/>
      <c r="N983" s="57"/>
      <c r="O983" s="57"/>
      <c r="P983" s="57"/>
    </row>
    <row r="984" spans="11:16" ht="13" x14ac:dyDescent="0.15">
      <c r="K984" s="56"/>
      <c r="L984" s="57"/>
      <c r="M984" s="57"/>
      <c r="N984" s="57"/>
      <c r="O984" s="57"/>
      <c r="P984" s="57"/>
    </row>
    <row r="985" spans="11:16" ht="13" x14ac:dyDescent="0.15">
      <c r="K985" s="56"/>
      <c r="L985" s="57"/>
      <c r="M985" s="57"/>
      <c r="N985" s="57"/>
      <c r="O985" s="57"/>
      <c r="P985" s="57"/>
    </row>
    <row r="986" spans="11:16" ht="13" x14ac:dyDescent="0.15">
      <c r="K986" s="56"/>
      <c r="L986" s="57"/>
      <c r="M986" s="57"/>
      <c r="N986" s="57"/>
      <c r="O986" s="57"/>
      <c r="P986" s="57"/>
    </row>
    <row r="987" spans="11:16" ht="13" x14ac:dyDescent="0.15">
      <c r="K987" s="56"/>
      <c r="L987" s="57"/>
      <c r="M987" s="57"/>
      <c r="N987" s="57"/>
      <c r="O987" s="57"/>
      <c r="P987" s="57"/>
    </row>
    <row r="988" spans="11:16" ht="13" x14ac:dyDescent="0.15">
      <c r="K988" s="56"/>
      <c r="L988" s="57"/>
      <c r="M988" s="57"/>
      <c r="N988" s="57"/>
      <c r="O988" s="57"/>
      <c r="P988" s="57"/>
    </row>
    <row r="989" spans="11:16" ht="13" x14ac:dyDescent="0.15">
      <c r="K989" s="56"/>
      <c r="L989" s="57"/>
      <c r="M989" s="57"/>
      <c r="N989" s="57"/>
      <c r="O989" s="57"/>
      <c r="P989" s="57"/>
    </row>
    <row r="990" spans="11:16" ht="13" x14ac:dyDescent="0.15">
      <c r="K990" s="56"/>
      <c r="L990" s="57"/>
      <c r="M990" s="57"/>
      <c r="N990" s="57"/>
      <c r="O990" s="57"/>
      <c r="P990" s="57"/>
    </row>
    <row r="991" spans="11:16" ht="13" x14ac:dyDescent="0.15">
      <c r="K991" s="56"/>
      <c r="L991" s="57"/>
      <c r="M991" s="57"/>
      <c r="N991" s="57"/>
      <c r="O991" s="57"/>
      <c r="P991" s="57"/>
    </row>
    <row r="992" spans="11:16" ht="13" x14ac:dyDescent="0.15">
      <c r="K992" s="56"/>
      <c r="L992" s="57"/>
      <c r="M992" s="57"/>
      <c r="N992" s="57"/>
      <c r="O992" s="57"/>
      <c r="P992" s="57"/>
    </row>
    <row r="993" spans="11:16" ht="13" x14ac:dyDescent="0.15">
      <c r="K993" s="56"/>
      <c r="L993" s="57"/>
      <c r="M993" s="57"/>
      <c r="N993" s="57"/>
      <c r="O993" s="57"/>
      <c r="P993" s="57"/>
    </row>
    <row r="994" spans="11:16" ht="13" x14ac:dyDescent="0.15">
      <c r="K994" s="56"/>
      <c r="L994" s="57"/>
      <c r="M994" s="57"/>
      <c r="N994" s="57"/>
      <c r="O994" s="57"/>
      <c r="P994" s="57"/>
    </row>
    <row r="995" spans="11:16" ht="13" x14ac:dyDescent="0.15">
      <c r="K995" s="56"/>
      <c r="L995" s="57"/>
      <c r="M995" s="57"/>
      <c r="N995" s="57"/>
      <c r="O995" s="57"/>
      <c r="P995" s="57"/>
    </row>
    <row r="996" spans="11:16" ht="13" x14ac:dyDescent="0.15">
      <c r="K996" s="56"/>
      <c r="L996" s="57"/>
      <c r="M996" s="57"/>
      <c r="N996" s="57"/>
      <c r="O996" s="57"/>
      <c r="P996" s="57"/>
    </row>
    <row r="997" spans="11:16" ht="13" x14ac:dyDescent="0.15">
      <c r="K997" s="56"/>
      <c r="L997" s="57"/>
      <c r="M997" s="57"/>
      <c r="N997" s="57"/>
      <c r="O997" s="57"/>
      <c r="P997" s="57"/>
    </row>
    <row r="998" spans="11:16" ht="13" x14ac:dyDescent="0.15">
      <c r="K998" s="56"/>
      <c r="L998" s="57"/>
      <c r="M998" s="57"/>
      <c r="N998" s="57"/>
      <c r="O998" s="57"/>
      <c r="P998" s="57"/>
    </row>
    <row r="999" spans="11:16" ht="13" x14ac:dyDescent="0.15">
      <c r="K999" s="56"/>
      <c r="L999" s="57"/>
      <c r="M999" s="57"/>
      <c r="N999" s="57"/>
      <c r="O999" s="57"/>
      <c r="P999" s="57"/>
    </row>
    <row r="1000" spans="11:16" ht="13" x14ac:dyDescent="0.15">
      <c r="K1000" s="56"/>
      <c r="L1000" s="57"/>
      <c r="M1000" s="57"/>
      <c r="N1000" s="57"/>
      <c r="O1000" s="57"/>
      <c r="P1000" s="57"/>
    </row>
    <row r="1001" spans="11:16" ht="13" x14ac:dyDescent="0.15">
      <c r="K1001" s="56"/>
      <c r="L1001" s="57"/>
      <c r="M1001" s="57"/>
      <c r="N1001" s="57"/>
      <c r="O1001" s="57"/>
      <c r="P1001" s="57"/>
    </row>
    <row r="1002" spans="11:16" ht="13" x14ac:dyDescent="0.15">
      <c r="K1002" s="56"/>
      <c r="L1002" s="57"/>
      <c r="M1002" s="57"/>
      <c r="N1002" s="57"/>
      <c r="O1002" s="57"/>
      <c r="P1002" s="5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F30"/>
  <sheetViews>
    <sheetView workbookViewId="0"/>
  </sheetViews>
  <sheetFormatPr baseColWidth="10" defaultColWidth="12.6640625" defaultRowHeight="15.75" customHeight="1" x14ac:dyDescent="0.15"/>
  <cols>
    <col min="1" max="1" width="24.1640625" customWidth="1"/>
    <col min="2" max="6" width="12" customWidth="1"/>
    <col min="7" max="7" width="11.33203125" customWidth="1"/>
    <col min="8" max="8" width="10.6640625" customWidth="1"/>
    <col min="9" max="9" width="11.33203125" customWidth="1"/>
    <col min="10" max="10" width="10.6640625" customWidth="1"/>
    <col min="11" max="11" width="11.33203125" customWidth="1"/>
    <col min="12" max="12" width="10.6640625" customWidth="1"/>
    <col min="13" max="13" width="11.33203125" customWidth="1"/>
    <col min="14" max="14" width="10.6640625" customWidth="1"/>
    <col min="17" max="17" width="28.83203125" customWidth="1"/>
    <col min="18" max="18" width="23.6640625" customWidth="1"/>
    <col min="19" max="21" width="11.33203125" customWidth="1"/>
  </cols>
  <sheetData>
    <row r="1" spans="1:32" ht="15.75" customHeight="1" x14ac:dyDescent="0.15">
      <c r="A1" s="63" t="s">
        <v>434</v>
      </c>
      <c r="B1" s="64">
        <v>2020</v>
      </c>
      <c r="C1" s="65">
        <v>2021</v>
      </c>
      <c r="D1" s="65">
        <v>2022</v>
      </c>
      <c r="E1" s="65">
        <v>2023</v>
      </c>
      <c r="F1" s="66">
        <v>2024</v>
      </c>
      <c r="G1" s="67" t="s">
        <v>435</v>
      </c>
      <c r="H1" s="68" t="s">
        <v>436</v>
      </c>
      <c r="I1" s="67" t="s">
        <v>437</v>
      </c>
      <c r="J1" s="68" t="s">
        <v>438</v>
      </c>
      <c r="K1" s="67" t="s">
        <v>439</v>
      </c>
      <c r="L1" s="68" t="s">
        <v>440</v>
      </c>
      <c r="M1" s="67" t="s">
        <v>441</v>
      </c>
      <c r="N1" s="69" t="s">
        <v>442</v>
      </c>
    </row>
    <row r="2" spans="1:32" ht="15.75" customHeight="1" x14ac:dyDescent="0.15">
      <c r="A2" s="70" t="s">
        <v>443</v>
      </c>
      <c r="B2" s="71">
        <v>210628923</v>
      </c>
      <c r="C2" s="72">
        <v>329226074</v>
      </c>
      <c r="D2" s="72">
        <v>396838417</v>
      </c>
      <c r="E2" s="72">
        <v>413772484</v>
      </c>
      <c r="F2" s="73">
        <v>391043255</v>
      </c>
      <c r="G2" s="74">
        <f t="shared" ref="G2:G8" si="0">C2-B2</f>
        <v>118597151</v>
      </c>
      <c r="H2" s="75">
        <f t="shared" ref="H2:H8" si="1">G2/B2</f>
        <v>0.56306203968008706</v>
      </c>
      <c r="I2" s="74">
        <f t="shared" ref="I2:I8" si="2">D2-C2</f>
        <v>67612343</v>
      </c>
      <c r="J2" s="75">
        <f t="shared" ref="J2:J8" si="3">I2/C2</f>
        <v>0.20536752201467492</v>
      </c>
      <c r="K2" s="74">
        <f t="shared" ref="K2:K8" si="4">E2-D2</f>
        <v>16934067</v>
      </c>
      <c r="L2" s="75">
        <f t="shared" ref="L2:L8" si="5">K2/D2</f>
        <v>4.2672448721112602E-2</v>
      </c>
      <c r="M2" s="74">
        <f t="shared" ref="M2:M8" si="6">F2-E2</f>
        <v>-22729229</v>
      </c>
      <c r="N2" s="76">
        <f t="shared" ref="N2:N8" si="7">M2/E2</f>
        <v>-5.4931707348621087E-2</v>
      </c>
      <c r="R2" s="38"/>
      <c r="S2" s="38"/>
      <c r="T2" s="38"/>
      <c r="U2" s="38"/>
      <c r="V2" s="38"/>
      <c r="W2" s="38"/>
      <c r="X2" s="38"/>
      <c r="AA2" s="38"/>
      <c r="AB2" s="77"/>
      <c r="AC2" s="38"/>
      <c r="AD2" s="77"/>
      <c r="AE2" s="38"/>
      <c r="AF2" s="77"/>
    </row>
    <row r="3" spans="1:32" ht="15.75" customHeight="1" x14ac:dyDescent="0.15">
      <c r="A3" s="78" t="s">
        <v>444</v>
      </c>
      <c r="B3" s="79">
        <v>-123650253</v>
      </c>
      <c r="C3" s="80">
        <v>-217704762</v>
      </c>
      <c r="D3" s="80">
        <v>-271789668</v>
      </c>
      <c r="E3" s="80">
        <v>-271847220</v>
      </c>
      <c r="F3" s="81">
        <v>-248332447</v>
      </c>
      <c r="G3" s="74">
        <f t="shared" si="0"/>
        <v>-94054509</v>
      </c>
      <c r="H3" s="75">
        <f t="shared" si="1"/>
        <v>0.76064954755895242</v>
      </c>
      <c r="I3" s="74">
        <f t="shared" si="2"/>
        <v>-54084906</v>
      </c>
      <c r="J3" s="75">
        <f t="shared" si="3"/>
        <v>0.2484323517002352</v>
      </c>
      <c r="K3" s="74">
        <f t="shared" si="4"/>
        <v>-57552</v>
      </c>
      <c r="L3" s="75">
        <f t="shared" si="5"/>
        <v>2.1175197873967748E-4</v>
      </c>
      <c r="M3" s="74">
        <f t="shared" si="6"/>
        <v>23514773</v>
      </c>
      <c r="N3" s="76">
        <f t="shared" si="7"/>
        <v>-8.6499957586470819E-2</v>
      </c>
      <c r="Q3" s="4"/>
      <c r="R3" s="38"/>
      <c r="S3" s="38"/>
      <c r="T3" s="38"/>
      <c r="U3" s="38"/>
      <c r="V3" s="38"/>
      <c r="W3" s="38"/>
      <c r="X3" s="38"/>
      <c r="AA3" s="38"/>
      <c r="AB3" s="77"/>
      <c r="AC3" s="38"/>
      <c r="AD3" s="77"/>
      <c r="AE3" s="38"/>
      <c r="AF3" s="77"/>
    </row>
    <row r="4" spans="1:32" ht="15.75" customHeight="1" x14ac:dyDescent="0.15">
      <c r="A4" s="78" t="s">
        <v>445</v>
      </c>
      <c r="B4" s="79">
        <v>-53325328</v>
      </c>
      <c r="C4" s="80">
        <v>-64208638</v>
      </c>
      <c r="D4" s="80">
        <v>-71413602</v>
      </c>
      <c r="E4" s="80">
        <v>-73661770</v>
      </c>
      <c r="F4" s="81">
        <v>-67224590</v>
      </c>
      <c r="G4" s="74">
        <f t="shared" si="0"/>
        <v>-10883310</v>
      </c>
      <c r="H4" s="75">
        <f t="shared" si="1"/>
        <v>0.20409269681379175</v>
      </c>
      <c r="I4" s="74">
        <f t="shared" si="2"/>
        <v>-7204964</v>
      </c>
      <c r="J4" s="75">
        <f t="shared" si="3"/>
        <v>0.11221175568309048</v>
      </c>
      <c r="K4" s="74">
        <f t="shared" si="4"/>
        <v>-2248168</v>
      </c>
      <c r="L4" s="75">
        <f t="shared" si="5"/>
        <v>3.148094952555397E-2</v>
      </c>
      <c r="M4" s="74">
        <f t="shared" si="6"/>
        <v>6437180</v>
      </c>
      <c r="N4" s="76">
        <f t="shared" si="7"/>
        <v>-8.7388342691195178E-2</v>
      </c>
      <c r="Q4" s="4"/>
      <c r="R4" s="38"/>
      <c r="S4" s="38"/>
      <c r="T4" s="38"/>
      <c r="U4" s="38"/>
      <c r="V4" s="38"/>
      <c r="W4" s="38"/>
      <c r="X4" s="38"/>
      <c r="AA4" s="38"/>
      <c r="AB4" s="77"/>
      <c r="AC4" s="38"/>
      <c r="AD4" s="77"/>
      <c r="AE4" s="38"/>
      <c r="AF4" s="77"/>
    </row>
    <row r="5" spans="1:32" ht="15.75" customHeight="1" x14ac:dyDescent="0.15">
      <c r="A5" s="82" t="s">
        <v>446</v>
      </c>
      <c r="B5" s="79">
        <f>-8685129+-1365143</f>
        <v>-10050272</v>
      </c>
      <c r="C5" s="80">
        <f>-15289502+-1013998</f>
        <v>-16303500</v>
      </c>
      <c r="D5" s="80">
        <f>-21783374+-2116351</f>
        <v>-23899725</v>
      </c>
      <c r="E5" s="80">
        <f>-25653665+-1647420</f>
        <v>-27301085</v>
      </c>
      <c r="F5" s="81">
        <f>-27408277+-1457644</f>
        <v>-28865921</v>
      </c>
      <c r="G5" s="74">
        <f t="shared" si="0"/>
        <v>-6253228</v>
      </c>
      <c r="H5" s="75">
        <f t="shared" si="1"/>
        <v>0.6221949017897227</v>
      </c>
      <c r="I5" s="74">
        <f t="shared" si="2"/>
        <v>-7596225</v>
      </c>
      <c r="J5" s="75">
        <f t="shared" si="3"/>
        <v>0.46592602815346396</v>
      </c>
      <c r="K5" s="74">
        <f t="shared" si="4"/>
        <v>-3401360</v>
      </c>
      <c r="L5" s="75">
        <f t="shared" si="5"/>
        <v>0.14231795554132945</v>
      </c>
      <c r="M5" s="74">
        <f t="shared" si="6"/>
        <v>-1564836</v>
      </c>
      <c r="N5" s="76">
        <f t="shared" si="7"/>
        <v>5.7317721987972275E-2</v>
      </c>
      <c r="Q5" s="4"/>
      <c r="R5" s="38"/>
      <c r="S5" s="38"/>
      <c r="T5" s="38"/>
      <c r="U5" s="38"/>
      <c r="V5" s="38"/>
      <c r="W5" s="38"/>
      <c r="X5" s="38"/>
      <c r="AA5" s="38"/>
      <c r="AB5" s="77"/>
      <c r="AC5" s="38"/>
      <c r="AD5" s="77"/>
      <c r="AE5" s="38"/>
      <c r="AF5" s="77"/>
    </row>
    <row r="6" spans="1:32" ht="15.75" customHeight="1" x14ac:dyDescent="0.15">
      <c r="A6" s="82" t="s">
        <v>447</v>
      </c>
      <c r="B6" s="79">
        <v>-3959744</v>
      </c>
      <c r="C6" s="80">
        <v>-6948102</v>
      </c>
      <c r="D6" s="80">
        <v>-9666058</v>
      </c>
      <c r="E6" s="80">
        <v>-11964772</v>
      </c>
      <c r="F6" s="81">
        <v>-9968066</v>
      </c>
      <c r="G6" s="74">
        <f t="shared" si="0"/>
        <v>-2988358</v>
      </c>
      <c r="H6" s="75">
        <f t="shared" si="1"/>
        <v>0.75468464628016352</v>
      </c>
      <c r="I6" s="74">
        <f t="shared" si="2"/>
        <v>-2717956</v>
      </c>
      <c r="J6" s="75">
        <f t="shared" si="3"/>
        <v>0.39117963438072728</v>
      </c>
      <c r="K6" s="74">
        <f t="shared" si="4"/>
        <v>-2298714</v>
      </c>
      <c r="L6" s="75">
        <f t="shared" si="5"/>
        <v>0.23781297401691567</v>
      </c>
      <c r="M6" s="74">
        <f t="shared" si="6"/>
        <v>1996706</v>
      </c>
      <c r="N6" s="76">
        <f t="shared" si="7"/>
        <v>-0.16688207681684197</v>
      </c>
      <c r="R6" s="38"/>
      <c r="S6" s="38"/>
      <c r="T6" s="38"/>
      <c r="U6" s="38"/>
      <c r="V6" s="38"/>
      <c r="W6" s="38"/>
      <c r="X6" s="38"/>
      <c r="AA6" s="38"/>
      <c r="AB6" s="77"/>
      <c r="AC6" s="38"/>
      <c r="AD6" s="77"/>
      <c r="AE6" s="38"/>
      <c r="AF6" s="77"/>
    </row>
    <row r="7" spans="1:32" ht="15.75" customHeight="1" x14ac:dyDescent="0.15">
      <c r="A7" s="83" t="s">
        <v>448</v>
      </c>
      <c r="B7" s="79">
        <v>17031500</v>
      </c>
      <c r="C7" s="80">
        <v>18970400</v>
      </c>
      <c r="D7" s="80">
        <v>13695134</v>
      </c>
      <c r="E7" s="80">
        <v>19574074</v>
      </c>
      <c r="F7" s="81">
        <v>30843886</v>
      </c>
      <c r="G7" s="74">
        <f t="shared" si="0"/>
        <v>1938900</v>
      </c>
      <c r="H7" s="75">
        <f t="shared" si="1"/>
        <v>0.11384199864956111</v>
      </c>
      <c r="I7" s="74">
        <f t="shared" si="2"/>
        <v>-5275266</v>
      </c>
      <c r="J7" s="75">
        <f t="shared" si="3"/>
        <v>-0.27807879644077088</v>
      </c>
      <c r="K7" s="74">
        <f t="shared" si="4"/>
        <v>5878940</v>
      </c>
      <c r="L7" s="75">
        <f t="shared" si="5"/>
        <v>0.4292721779867214</v>
      </c>
      <c r="M7" s="74">
        <f t="shared" si="6"/>
        <v>11269812</v>
      </c>
      <c r="N7" s="76">
        <f t="shared" si="7"/>
        <v>0.57575198704163477</v>
      </c>
      <c r="R7" s="38"/>
      <c r="S7" s="38"/>
      <c r="T7" s="38"/>
      <c r="U7" s="38"/>
      <c r="V7" s="38"/>
      <c r="W7" s="38"/>
      <c r="X7" s="38"/>
      <c r="AA7" s="38"/>
      <c r="AB7" s="77"/>
      <c r="AC7" s="38"/>
      <c r="AD7" s="77"/>
      <c r="AE7" s="38"/>
      <c r="AF7" s="77"/>
    </row>
    <row r="8" spans="1:32" ht="15.75" customHeight="1" x14ac:dyDescent="0.15">
      <c r="A8" s="84" t="s">
        <v>449</v>
      </c>
      <c r="B8" s="85">
        <v>14192552</v>
      </c>
      <c r="C8" s="86">
        <v>14537076</v>
      </c>
      <c r="D8" s="86">
        <v>11033196</v>
      </c>
      <c r="E8" s="86">
        <v>16457924</v>
      </c>
      <c r="F8" s="87">
        <v>22606801</v>
      </c>
      <c r="G8" s="88">
        <f t="shared" si="0"/>
        <v>344524</v>
      </c>
      <c r="H8" s="89">
        <f t="shared" si="1"/>
        <v>2.4274985922193557E-2</v>
      </c>
      <c r="I8" s="88">
        <f t="shared" si="2"/>
        <v>-3503880</v>
      </c>
      <c r="J8" s="89">
        <f t="shared" si="3"/>
        <v>-0.2410305896454005</v>
      </c>
      <c r="K8" s="88">
        <f t="shared" si="4"/>
        <v>5424728</v>
      </c>
      <c r="L8" s="89">
        <f t="shared" si="5"/>
        <v>0.49167331025389199</v>
      </c>
      <c r="M8" s="88">
        <f t="shared" si="6"/>
        <v>6148877</v>
      </c>
      <c r="N8" s="90">
        <f t="shared" si="7"/>
        <v>0.37361194522468327</v>
      </c>
      <c r="R8" s="38"/>
      <c r="S8" s="38"/>
      <c r="T8" s="38"/>
      <c r="U8" s="38"/>
      <c r="V8" s="38"/>
      <c r="W8" s="38"/>
      <c r="X8" s="38"/>
      <c r="AA8" s="38"/>
      <c r="AB8" s="77"/>
      <c r="AC8" s="38"/>
      <c r="AD8" s="77"/>
      <c r="AE8" s="38"/>
      <c r="AF8" s="77"/>
    </row>
    <row r="9" spans="1:32" ht="15.75" customHeight="1" x14ac:dyDescent="0.15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</row>
    <row r="10" spans="1:32" ht="15.75" customHeight="1" x14ac:dyDescent="0.15">
      <c r="B10" s="91"/>
      <c r="C10" s="91"/>
      <c r="D10" s="91"/>
      <c r="E10" s="91"/>
      <c r="F10" s="91"/>
      <c r="G10" s="92" t="s">
        <v>450</v>
      </c>
      <c r="H10" s="91"/>
      <c r="I10" s="91"/>
      <c r="J10" s="91"/>
      <c r="K10" s="91"/>
      <c r="L10" s="91"/>
      <c r="M10" s="91"/>
      <c r="N10" s="91"/>
    </row>
    <row r="11" spans="1:32" ht="15.75" customHeight="1" x14ac:dyDescent="0.15">
      <c r="B11" s="91"/>
      <c r="C11" s="91"/>
      <c r="D11" s="91"/>
      <c r="E11" s="91"/>
      <c r="F11" s="91"/>
      <c r="H11" s="92" t="s">
        <v>451</v>
      </c>
      <c r="I11" s="91"/>
      <c r="J11" s="91"/>
      <c r="K11" s="91"/>
      <c r="L11" s="91"/>
      <c r="M11" s="91"/>
      <c r="N11" s="91"/>
      <c r="S11" s="38"/>
      <c r="T11" s="77"/>
    </row>
    <row r="12" spans="1:32" ht="15.75" customHeight="1" x14ac:dyDescent="0.15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Q12" s="4"/>
      <c r="S12" s="38"/>
      <c r="T12" s="77"/>
    </row>
    <row r="13" spans="1:32" ht="15.75" customHeight="1" x14ac:dyDescent="0.15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Q13" s="4"/>
      <c r="S13" s="38"/>
      <c r="T13" s="77"/>
    </row>
    <row r="14" spans="1:32" ht="15.75" customHeight="1" x14ac:dyDescent="0.15">
      <c r="A14" s="63" t="s">
        <v>452</v>
      </c>
      <c r="B14" s="64">
        <v>2020</v>
      </c>
      <c r="C14" s="65">
        <v>2021</v>
      </c>
      <c r="D14" s="65">
        <v>2022</v>
      </c>
      <c r="E14" s="65">
        <v>2023</v>
      </c>
      <c r="F14" s="66">
        <v>2024</v>
      </c>
      <c r="G14" s="67" t="s">
        <v>435</v>
      </c>
      <c r="H14" s="68" t="s">
        <v>436</v>
      </c>
      <c r="I14" s="67" t="s">
        <v>437</v>
      </c>
      <c r="J14" s="68" t="s">
        <v>438</v>
      </c>
      <c r="K14" s="67" t="s">
        <v>439</v>
      </c>
      <c r="L14" s="68" t="s">
        <v>440</v>
      </c>
      <c r="M14" s="67" t="s">
        <v>441</v>
      </c>
      <c r="N14" s="69" t="s">
        <v>442</v>
      </c>
      <c r="S14" s="38"/>
      <c r="T14" s="77"/>
    </row>
    <row r="15" spans="1:32" ht="15.75" customHeight="1" x14ac:dyDescent="0.15">
      <c r="A15" s="70" t="s">
        <v>453</v>
      </c>
      <c r="B15" s="71">
        <v>51682390</v>
      </c>
      <c r="C15" s="72">
        <v>66372422</v>
      </c>
      <c r="D15" s="72">
        <v>74736807</v>
      </c>
      <c r="E15" s="72">
        <v>66431396</v>
      </c>
      <c r="F15" s="73">
        <v>66841283</v>
      </c>
      <c r="G15" s="74">
        <f t="shared" ref="G15:G21" si="8">C15-B15</f>
        <v>14690032</v>
      </c>
      <c r="H15" s="75">
        <f t="shared" ref="H15:H21" si="9">G15/B15</f>
        <v>0.28423670035383425</v>
      </c>
      <c r="I15" s="74">
        <f t="shared" ref="I15:I21" si="10">D15-C15</f>
        <v>8364385</v>
      </c>
      <c r="J15" s="75">
        <f t="shared" ref="J15:J21" si="11">I15/C15</f>
        <v>0.12602199449644913</v>
      </c>
      <c r="K15" s="74">
        <f t="shared" ref="K15:K21" si="12">E15-D15</f>
        <v>-8305411</v>
      </c>
      <c r="L15" s="75">
        <f t="shared" ref="L15:L21" si="13">K15/D15</f>
        <v>-0.11112879093162221</v>
      </c>
      <c r="M15" s="74">
        <f t="shared" ref="M15:M21" si="14">F15-E15</f>
        <v>409887</v>
      </c>
      <c r="N15" s="76">
        <f t="shared" ref="N15:N21" si="15">M15/E15</f>
        <v>6.1700795810462868E-3</v>
      </c>
      <c r="S15" s="38"/>
      <c r="T15" s="77"/>
    </row>
    <row r="16" spans="1:32" ht="15.75" customHeight="1" x14ac:dyDescent="0.15">
      <c r="A16" s="82" t="s">
        <v>454</v>
      </c>
      <c r="B16" s="71">
        <v>18529846</v>
      </c>
      <c r="C16" s="72">
        <v>24685051</v>
      </c>
      <c r="D16" s="72">
        <v>29756512</v>
      </c>
      <c r="E16" s="72">
        <v>26341968</v>
      </c>
      <c r="F16" s="73">
        <v>26665218</v>
      </c>
      <c r="G16" s="74">
        <f t="shared" si="8"/>
        <v>6155205</v>
      </c>
      <c r="H16" s="93">
        <f t="shared" si="9"/>
        <v>0.33217788210436289</v>
      </c>
      <c r="I16" s="74">
        <f t="shared" si="10"/>
        <v>5071461</v>
      </c>
      <c r="J16" s="75">
        <f t="shared" si="11"/>
        <v>0.20544664866197765</v>
      </c>
      <c r="K16" s="74">
        <f t="shared" si="12"/>
        <v>-3414544</v>
      </c>
      <c r="L16" s="75">
        <f t="shared" si="13"/>
        <v>-0.1147494706368811</v>
      </c>
      <c r="M16" s="74">
        <f t="shared" si="14"/>
        <v>323250</v>
      </c>
      <c r="N16" s="76">
        <f t="shared" si="15"/>
        <v>1.227129271434845E-2</v>
      </c>
    </row>
    <row r="17" spans="1:23" ht="15.75" customHeight="1" x14ac:dyDescent="0.15">
      <c r="A17" s="82" t="s">
        <v>455</v>
      </c>
      <c r="B17" s="85">
        <v>20234731</v>
      </c>
      <c r="C17" s="86">
        <v>21374972</v>
      </c>
      <c r="D17" s="86">
        <v>24232245</v>
      </c>
      <c r="E17" s="86">
        <v>23159983</v>
      </c>
      <c r="F17" s="87">
        <v>23765651</v>
      </c>
      <c r="G17" s="74">
        <f t="shared" si="8"/>
        <v>1140241</v>
      </c>
      <c r="H17" s="93">
        <f t="shared" si="9"/>
        <v>5.6350687340493928E-2</v>
      </c>
      <c r="I17" s="74">
        <f t="shared" si="10"/>
        <v>2857273</v>
      </c>
      <c r="J17" s="75">
        <f t="shared" si="11"/>
        <v>0.13367376574809081</v>
      </c>
      <c r="K17" s="74">
        <f t="shared" si="12"/>
        <v>-1072262</v>
      </c>
      <c r="L17" s="75">
        <f t="shared" si="13"/>
        <v>-4.4249387541269905E-2</v>
      </c>
      <c r="M17" s="74">
        <f t="shared" si="14"/>
        <v>605668</v>
      </c>
      <c r="N17" s="76">
        <f t="shared" si="15"/>
        <v>2.6151487244183209E-2</v>
      </c>
      <c r="S17" s="3"/>
      <c r="T17" s="3"/>
      <c r="U17" s="3"/>
      <c r="V17" s="3"/>
      <c r="W17" s="3"/>
    </row>
    <row r="18" spans="1:23" ht="15.75" customHeight="1" x14ac:dyDescent="0.15">
      <c r="A18" s="82" t="s">
        <v>456</v>
      </c>
      <c r="B18" s="79">
        <f>8381949+465768</f>
        <v>8847717</v>
      </c>
      <c r="C18" s="80">
        <f>9691297+586570</f>
        <v>10277867</v>
      </c>
      <c r="D18" s="80">
        <f>10641735+607917</f>
        <v>11249652</v>
      </c>
      <c r="E18" s="80">
        <f>10621442+594470</f>
        <v>11215912</v>
      </c>
      <c r="F18" s="81">
        <f>10978937+598272</f>
        <v>11577209</v>
      </c>
      <c r="G18" s="74">
        <f t="shared" si="8"/>
        <v>1430150</v>
      </c>
      <c r="H18" s="93">
        <f t="shared" si="9"/>
        <v>0.16164056784365954</v>
      </c>
      <c r="I18" s="74">
        <f t="shared" si="10"/>
        <v>971785</v>
      </c>
      <c r="J18" s="75">
        <f t="shared" si="11"/>
        <v>9.4551233247131924E-2</v>
      </c>
      <c r="K18" s="74">
        <f t="shared" si="12"/>
        <v>-33740</v>
      </c>
      <c r="L18" s="75">
        <f t="shared" si="13"/>
        <v>-2.9992038864846663E-3</v>
      </c>
      <c r="M18" s="74">
        <f t="shared" si="14"/>
        <v>361297</v>
      </c>
      <c r="N18" s="76">
        <f t="shared" si="15"/>
        <v>3.2212895393615784E-2</v>
      </c>
      <c r="S18" s="3"/>
      <c r="T18" s="3"/>
      <c r="U18" s="3"/>
      <c r="V18" s="3"/>
      <c r="W18" s="3"/>
    </row>
    <row r="19" spans="1:23" ht="15.75" customHeight="1" x14ac:dyDescent="0.15">
      <c r="A19" s="83" t="s">
        <v>457</v>
      </c>
      <c r="B19" s="79">
        <v>4005177</v>
      </c>
      <c r="C19" s="80">
        <v>4184110</v>
      </c>
      <c r="D19" s="80">
        <v>4348252</v>
      </c>
      <c r="E19" s="80">
        <v>4196768</v>
      </c>
      <c r="F19" s="81">
        <v>4272175</v>
      </c>
      <c r="G19" s="74">
        <f t="shared" si="8"/>
        <v>178933</v>
      </c>
      <c r="H19" s="93">
        <f t="shared" si="9"/>
        <v>4.4675428826241634E-2</v>
      </c>
      <c r="I19" s="74">
        <f t="shared" si="10"/>
        <v>164142</v>
      </c>
      <c r="J19" s="75">
        <f t="shared" si="11"/>
        <v>3.9229848163647704E-2</v>
      </c>
      <c r="K19" s="74">
        <f t="shared" si="12"/>
        <v>-151484</v>
      </c>
      <c r="L19" s="75">
        <f t="shared" si="13"/>
        <v>-3.4837907278602989E-2</v>
      </c>
      <c r="M19" s="74">
        <f t="shared" si="14"/>
        <v>75407</v>
      </c>
      <c r="N19" s="76">
        <f t="shared" si="15"/>
        <v>1.7967874326148121E-2</v>
      </c>
      <c r="S19" s="3"/>
      <c r="T19" s="3"/>
      <c r="U19" s="3"/>
      <c r="V19" s="3"/>
      <c r="W19" s="3"/>
    </row>
    <row r="20" spans="1:23" ht="15.75" customHeight="1" x14ac:dyDescent="0.15">
      <c r="A20" s="82" t="s">
        <v>458</v>
      </c>
      <c r="B20" s="79">
        <v>6573</v>
      </c>
      <c r="C20" s="80">
        <v>7853841</v>
      </c>
      <c r="D20" s="80">
        <v>6673040</v>
      </c>
      <c r="E20" s="80">
        <v>1505706</v>
      </c>
      <c r="F20" s="81">
        <v>-409538</v>
      </c>
      <c r="G20" s="74">
        <f t="shared" si="8"/>
        <v>7847268</v>
      </c>
      <c r="H20" s="93">
        <f t="shared" si="9"/>
        <v>1193.8639890460977</v>
      </c>
      <c r="I20" s="74">
        <f t="shared" si="10"/>
        <v>-1180801</v>
      </c>
      <c r="J20" s="75">
        <f t="shared" si="11"/>
        <v>-0.15034694488976794</v>
      </c>
      <c r="K20" s="74">
        <f t="shared" si="12"/>
        <v>-5167334</v>
      </c>
      <c r="L20" s="75">
        <f t="shared" si="13"/>
        <v>-0.77435981201970916</v>
      </c>
      <c r="M20" s="74">
        <f t="shared" si="14"/>
        <v>-1915244</v>
      </c>
      <c r="N20" s="76">
        <f t="shared" si="15"/>
        <v>-1.2719906807836323</v>
      </c>
    </row>
    <row r="21" spans="1:23" ht="15.75" customHeight="1" x14ac:dyDescent="0.15">
      <c r="A21" s="84" t="s">
        <v>459</v>
      </c>
      <c r="B21" s="85">
        <v>794697</v>
      </c>
      <c r="C21" s="86">
        <v>5393988</v>
      </c>
      <c r="D21" s="86">
        <v>4453512</v>
      </c>
      <c r="E21" s="86">
        <v>650172</v>
      </c>
      <c r="F21" s="87">
        <v>1069922</v>
      </c>
      <c r="G21" s="88">
        <f t="shared" si="8"/>
        <v>4599291</v>
      </c>
      <c r="H21" s="94">
        <f t="shared" si="9"/>
        <v>5.7874774914212583</v>
      </c>
      <c r="I21" s="88">
        <f t="shared" si="10"/>
        <v>-940476</v>
      </c>
      <c r="J21" s="89">
        <f t="shared" si="11"/>
        <v>-0.17435633894624905</v>
      </c>
      <c r="K21" s="88">
        <f t="shared" si="12"/>
        <v>-3803340</v>
      </c>
      <c r="L21" s="89">
        <f t="shared" si="13"/>
        <v>-0.8540091505310865</v>
      </c>
      <c r="M21" s="88">
        <f t="shared" si="14"/>
        <v>419750</v>
      </c>
      <c r="N21" s="90">
        <f t="shared" si="15"/>
        <v>0.64559839550149811</v>
      </c>
    </row>
    <row r="22" spans="1:23" ht="15.75" customHeight="1" x14ac:dyDescent="0.15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</row>
    <row r="23" spans="1:23" ht="15.75" customHeight="1" x14ac:dyDescent="0.15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</row>
    <row r="24" spans="1:23" ht="15.75" customHeight="1" x14ac:dyDescent="0.15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</row>
    <row r="25" spans="1:23" ht="15.75" customHeight="1" x14ac:dyDescent="0.15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</row>
    <row r="26" spans="1:23" ht="15.75" customHeight="1" x14ac:dyDescent="0.15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</row>
    <row r="27" spans="1:23" ht="15.75" customHeight="1" x14ac:dyDescent="0.15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</row>
    <row r="28" spans="1:23" ht="15.75" customHeight="1" x14ac:dyDescent="0.15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</row>
    <row r="29" spans="1:23" ht="15.75" customHeight="1" x14ac:dyDescent="0.15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</row>
    <row r="30" spans="1:23" ht="15.75" customHeight="1" x14ac:dyDescent="0.15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</row>
  </sheetData>
  <printOptions horizontalCentered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20"/>
  <sheetViews>
    <sheetView workbookViewId="0"/>
  </sheetViews>
  <sheetFormatPr baseColWidth="10" defaultColWidth="12.6640625" defaultRowHeight="15.75" customHeight="1" x14ac:dyDescent="0.15"/>
  <cols>
    <col min="1" max="1" width="16.83203125" customWidth="1"/>
  </cols>
  <sheetData>
    <row r="1" spans="1:6" ht="15.75" customHeight="1" x14ac:dyDescent="0.15">
      <c r="A1" s="95" t="s">
        <v>460</v>
      </c>
      <c r="B1" s="96">
        <v>2020</v>
      </c>
      <c r="C1" s="96">
        <v>2021</v>
      </c>
      <c r="D1" s="96">
        <v>2022</v>
      </c>
      <c r="E1" s="96">
        <v>2023</v>
      </c>
      <c r="F1" s="96">
        <v>2024</v>
      </c>
    </row>
    <row r="2" spans="1:6" ht="15.75" customHeight="1" x14ac:dyDescent="0.15">
      <c r="A2" s="97" t="s">
        <v>461</v>
      </c>
      <c r="B2" s="77">
        <v>1</v>
      </c>
      <c r="C2" s="77">
        <v>1</v>
      </c>
      <c r="D2" s="77">
        <v>1</v>
      </c>
      <c r="E2" s="77">
        <v>1</v>
      </c>
      <c r="F2" s="77">
        <v>1</v>
      </c>
    </row>
    <row r="3" spans="1:6" ht="15.75" customHeight="1" x14ac:dyDescent="0.15">
      <c r="A3" s="97" t="s">
        <v>6</v>
      </c>
      <c r="B3" s="98">
        <v>0.59</v>
      </c>
      <c r="C3" s="98">
        <v>0.66</v>
      </c>
      <c r="D3" s="98">
        <v>0.68</v>
      </c>
      <c r="E3" s="98">
        <v>0.66</v>
      </c>
      <c r="F3" s="98">
        <v>0.64</v>
      </c>
    </row>
    <row r="4" spans="1:6" ht="15.75" customHeight="1" x14ac:dyDescent="0.15">
      <c r="A4" s="97" t="s">
        <v>462</v>
      </c>
      <c r="B4" s="98">
        <v>0.25</v>
      </c>
      <c r="C4" s="98">
        <v>0.2</v>
      </c>
      <c r="D4" s="98">
        <v>0.18</v>
      </c>
      <c r="E4" s="98">
        <v>0.18</v>
      </c>
      <c r="F4" s="98">
        <v>0.17</v>
      </c>
    </row>
    <row r="5" spans="1:6" ht="15.75" customHeight="1" x14ac:dyDescent="0.15">
      <c r="A5" s="97" t="s">
        <v>8</v>
      </c>
      <c r="B5" s="98">
        <v>0.04</v>
      </c>
      <c r="C5" s="98">
        <v>0.05</v>
      </c>
      <c r="D5" s="98">
        <v>0.05</v>
      </c>
      <c r="E5" s="98">
        <v>0.06</v>
      </c>
      <c r="F5" s="98">
        <v>7.0000000000000007E-2</v>
      </c>
    </row>
    <row r="6" spans="1:6" ht="15.75" customHeight="1" x14ac:dyDescent="0.15">
      <c r="A6" s="97" t="s">
        <v>9</v>
      </c>
      <c r="B6" s="98">
        <v>0.01</v>
      </c>
      <c r="C6" s="98">
        <v>0</v>
      </c>
      <c r="D6" s="98">
        <v>0.01</v>
      </c>
      <c r="E6" s="98">
        <v>0</v>
      </c>
      <c r="F6" s="98">
        <v>0</v>
      </c>
    </row>
    <row r="7" spans="1:6" ht="15.75" customHeight="1" x14ac:dyDescent="0.15">
      <c r="A7" s="97" t="s">
        <v>463</v>
      </c>
      <c r="B7" s="99">
        <v>0.02</v>
      </c>
      <c r="C7" s="100">
        <v>0.02</v>
      </c>
      <c r="D7" s="100">
        <v>0.02</v>
      </c>
      <c r="E7" s="100">
        <v>0.03</v>
      </c>
      <c r="F7" s="100">
        <v>0.03</v>
      </c>
    </row>
    <row r="8" spans="1:6" ht="15.75" customHeight="1" x14ac:dyDescent="0.15">
      <c r="A8" s="97" t="s">
        <v>464</v>
      </c>
      <c r="B8" s="101">
        <v>0.08</v>
      </c>
      <c r="C8" s="77">
        <v>0.06</v>
      </c>
      <c r="D8" s="77">
        <v>0.03</v>
      </c>
      <c r="E8" s="77">
        <v>0.05</v>
      </c>
      <c r="F8" s="77">
        <v>0.08</v>
      </c>
    </row>
    <row r="9" spans="1:6" ht="15.75" customHeight="1" x14ac:dyDescent="0.15">
      <c r="A9" s="97" t="s">
        <v>465</v>
      </c>
      <c r="B9" s="77">
        <v>7.0000000000000007E-2</v>
      </c>
      <c r="C9" s="77">
        <v>0.04</v>
      </c>
      <c r="D9" s="77">
        <v>0.03</v>
      </c>
      <c r="E9" s="77">
        <v>0.04</v>
      </c>
      <c r="F9" s="77">
        <v>0.06</v>
      </c>
    </row>
    <row r="12" spans="1:6" ht="15.75" customHeight="1" x14ac:dyDescent="0.15">
      <c r="A12" s="102" t="s">
        <v>466</v>
      </c>
      <c r="B12" s="96">
        <v>2020</v>
      </c>
      <c r="C12" s="96">
        <v>2021</v>
      </c>
      <c r="D12" s="96">
        <v>2022</v>
      </c>
      <c r="E12" s="96">
        <v>2023</v>
      </c>
      <c r="F12" s="96">
        <v>2024</v>
      </c>
    </row>
    <row r="13" spans="1:6" ht="15.75" customHeight="1" x14ac:dyDescent="0.15">
      <c r="A13" s="97" t="s">
        <v>461</v>
      </c>
      <c r="B13" s="77">
        <v>1</v>
      </c>
      <c r="C13" s="77">
        <v>1</v>
      </c>
      <c r="D13" s="77">
        <v>1</v>
      </c>
      <c r="E13" s="77">
        <v>1</v>
      </c>
      <c r="F13" s="77">
        <v>1</v>
      </c>
    </row>
    <row r="14" spans="1:6" ht="15.75" customHeight="1" x14ac:dyDescent="0.15">
      <c r="A14" s="97" t="s">
        <v>6</v>
      </c>
      <c r="B14" s="103">
        <v>0.36</v>
      </c>
      <c r="C14" s="98">
        <v>0.37</v>
      </c>
      <c r="D14" s="98">
        <v>0.4</v>
      </c>
      <c r="E14" s="98">
        <v>0.4</v>
      </c>
      <c r="F14" s="98">
        <v>0.4</v>
      </c>
    </row>
    <row r="15" spans="1:6" ht="15.75" customHeight="1" x14ac:dyDescent="0.15">
      <c r="A15" s="97" t="s">
        <v>462</v>
      </c>
      <c r="B15" s="103">
        <v>0.39</v>
      </c>
      <c r="C15" s="98">
        <v>0.32</v>
      </c>
      <c r="D15" s="98">
        <v>0.32</v>
      </c>
      <c r="E15" s="98">
        <v>0.35</v>
      </c>
      <c r="F15" s="98">
        <v>0.36</v>
      </c>
    </row>
    <row r="16" spans="1:6" ht="15.75" customHeight="1" x14ac:dyDescent="0.15">
      <c r="A16" s="97" t="s">
        <v>8</v>
      </c>
      <c r="B16" s="103">
        <v>0.16</v>
      </c>
      <c r="C16" s="98">
        <v>0.15</v>
      </c>
      <c r="D16" s="98">
        <v>0.14000000000000001</v>
      </c>
      <c r="E16" s="98">
        <v>0.16</v>
      </c>
      <c r="F16" s="98">
        <v>0.16</v>
      </c>
    </row>
    <row r="17" spans="1:6" ht="15.75" customHeight="1" x14ac:dyDescent="0.15">
      <c r="A17" s="97" t="s">
        <v>9</v>
      </c>
      <c r="B17" s="103">
        <v>0.01</v>
      </c>
      <c r="C17" s="98">
        <v>0.01</v>
      </c>
      <c r="D17" s="98">
        <v>0.01</v>
      </c>
      <c r="E17" s="98">
        <v>0.01</v>
      </c>
      <c r="F17" s="98">
        <v>0.01</v>
      </c>
    </row>
    <row r="18" spans="1:6" ht="15.75" customHeight="1" x14ac:dyDescent="0.15">
      <c r="A18" s="97" t="s">
        <v>463</v>
      </c>
      <c r="B18" s="103">
        <v>0.08</v>
      </c>
      <c r="C18" s="98">
        <v>0.06</v>
      </c>
      <c r="D18" s="98">
        <v>0.06</v>
      </c>
      <c r="E18" s="98">
        <v>0.06</v>
      </c>
      <c r="F18" s="98">
        <v>0.06</v>
      </c>
    </row>
    <row r="19" spans="1:6" ht="15.75" customHeight="1" x14ac:dyDescent="0.15">
      <c r="A19" s="97" t="s">
        <v>464</v>
      </c>
      <c r="B19" s="103">
        <v>0</v>
      </c>
      <c r="C19" s="98">
        <v>0.12</v>
      </c>
      <c r="D19" s="98">
        <v>0.09</v>
      </c>
      <c r="E19" s="98">
        <v>0.02</v>
      </c>
      <c r="F19" s="98">
        <v>0</v>
      </c>
    </row>
    <row r="20" spans="1:6" ht="15.75" customHeight="1" x14ac:dyDescent="0.15">
      <c r="A20" s="97" t="s">
        <v>465</v>
      </c>
      <c r="B20" s="103">
        <v>0.02</v>
      </c>
      <c r="C20" s="98">
        <v>0.08</v>
      </c>
      <c r="D20" s="98">
        <v>0.06</v>
      </c>
      <c r="E20" s="98">
        <v>0.01</v>
      </c>
      <c r="F20" s="98">
        <v>0.02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A70"/>
  <sheetViews>
    <sheetView workbookViewId="0"/>
  </sheetViews>
  <sheetFormatPr baseColWidth="10" defaultColWidth="12.6640625" defaultRowHeight="15.75" customHeight="1" x14ac:dyDescent="0.15"/>
  <cols>
    <col min="1" max="1" width="7.6640625" customWidth="1"/>
    <col min="2" max="2" width="18.6640625" customWidth="1"/>
    <col min="8" max="8" width="7.83203125" customWidth="1"/>
    <col min="9" max="9" width="7.6640625" customWidth="1"/>
    <col min="10" max="10" width="18.6640625" customWidth="1"/>
  </cols>
  <sheetData>
    <row r="1" spans="1:27" ht="14" x14ac:dyDescent="0.15">
      <c r="A1" s="91"/>
      <c r="B1" s="91"/>
      <c r="C1" s="202" t="s">
        <v>460</v>
      </c>
      <c r="D1" s="203"/>
      <c r="E1" s="203"/>
      <c r="F1" s="203"/>
      <c r="G1" s="203"/>
      <c r="H1" s="91"/>
      <c r="I1" s="91"/>
      <c r="J1" s="91"/>
      <c r="K1" s="202" t="s">
        <v>466</v>
      </c>
      <c r="L1" s="203"/>
      <c r="M1" s="203"/>
      <c r="N1" s="203"/>
      <c r="O1" s="203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</row>
    <row r="2" spans="1:27" ht="14" x14ac:dyDescent="0.15">
      <c r="A2" s="104"/>
      <c r="B2" s="104" t="s">
        <v>467</v>
      </c>
      <c r="C2" s="105">
        <v>2020</v>
      </c>
      <c r="D2" s="105">
        <v>2021</v>
      </c>
      <c r="E2" s="105">
        <v>2022</v>
      </c>
      <c r="F2" s="105">
        <v>2023</v>
      </c>
      <c r="G2" s="105">
        <v>2024</v>
      </c>
      <c r="H2" s="91"/>
      <c r="I2" s="91"/>
      <c r="J2" s="91"/>
      <c r="K2" s="105">
        <v>2020</v>
      </c>
      <c r="L2" s="105">
        <v>2021</v>
      </c>
      <c r="M2" s="105">
        <v>2022</v>
      </c>
      <c r="N2" s="105">
        <v>2023</v>
      </c>
      <c r="O2" s="105">
        <v>2024</v>
      </c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</row>
    <row r="3" spans="1:27" ht="13" x14ac:dyDescent="0.1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</row>
    <row r="4" spans="1:27" ht="14" x14ac:dyDescent="0.15">
      <c r="A4" s="106"/>
      <c r="B4" s="107" t="s">
        <v>468</v>
      </c>
      <c r="C4" s="108">
        <v>2020</v>
      </c>
      <c r="D4" s="108">
        <v>2021</v>
      </c>
      <c r="E4" s="108">
        <v>2022</v>
      </c>
      <c r="F4" s="108">
        <v>2023</v>
      </c>
      <c r="G4" s="109">
        <v>2024</v>
      </c>
      <c r="H4" s="91"/>
      <c r="I4" s="110"/>
      <c r="J4" s="111" t="s">
        <v>468</v>
      </c>
      <c r="K4" s="112">
        <v>2020</v>
      </c>
      <c r="L4" s="112">
        <v>2021</v>
      </c>
      <c r="M4" s="112">
        <v>2022</v>
      </c>
      <c r="N4" s="112">
        <v>2023</v>
      </c>
      <c r="O4" s="113">
        <v>2024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</row>
    <row r="5" spans="1:27" ht="14" x14ac:dyDescent="0.15">
      <c r="A5" s="198" t="s">
        <v>469</v>
      </c>
      <c r="B5" s="114" t="s">
        <v>470</v>
      </c>
      <c r="C5" s="115">
        <f t="shared" ref="C5:G5" ca="1" si="0">(Q39+Q44)/Q39</f>
        <v>0.39479522807512418</v>
      </c>
      <c r="D5" s="115">
        <f t="shared" ca="1" si="0"/>
        <v>0.30496106186192362</v>
      </c>
      <c r="E5" s="115">
        <f t="shared" ca="1" si="0"/>
        <v>0.3042706957399326</v>
      </c>
      <c r="F5" s="115">
        <f t="shared" ca="1" si="0"/>
        <v>0.36651175031002325</v>
      </c>
      <c r="G5" s="115">
        <f t="shared" ca="1" si="0"/>
        <v>0.38216081355370718</v>
      </c>
      <c r="H5" s="91"/>
      <c r="I5" s="204" t="s">
        <v>471</v>
      </c>
      <c r="J5" s="114" t="s">
        <v>470</v>
      </c>
      <c r="K5" s="116">
        <f t="shared" ref="K5:O5" ca="1" si="1">(W39-W42)/W39</f>
        <v>0.64146692906423253</v>
      </c>
      <c r="L5" s="116">
        <f t="shared" ca="1" si="1"/>
        <v>0.62808271483599021</v>
      </c>
      <c r="M5" s="116">
        <f t="shared" ca="1" si="1"/>
        <v>0.60184930030526995</v>
      </c>
      <c r="N5" s="116">
        <f t="shared" ca="1" si="1"/>
        <v>0.60347110574042429</v>
      </c>
      <c r="O5" s="116">
        <f t="shared" ca="1" si="1"/>
        <v>0.60106663422364293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</row>
    <row r="6" spans="1:27" ht="14" x14ac:dyDescent="0.15">
      <c r="A6" s="199"/>
      <c r="B6" s="117" t="s">
        <v>472</v>
      </c>
      <c r="C6" s="118">
        <f t="shared" ref="C6:G6" ca="1" si="2">(Q33/Q39)</f>
        <v>8.336048510178562E-2</v>
      </c>
      <c r="D6" s="118">
        <f t="shared" ca="1" si="2"/>
        <v>6.0564438512624559E-2</v>
      </c>
      <c r="E6" s="118">
        <f t="shared" ca="1" si="2"/>
        <v>3.5056910439908238E-2</v>
      </c>
      <c r="F6" s="118">
        <f t="shared" ca="1" si="2"/>
        <v>4.561365710328795E-2</v>
      </c>
      <c r="G6" s="119">
        <f t="shared" ca="1" si="2"/>
        <v>7.6738105162239237E-2</v>
      </c>
      <c r="H6" s="91"/>
      <c r="I6" s="199"/>
      <c r="J6" s="117" t="s">
        <v>472</v>
      </c>
      <c r="K6" s="120">
        <f t="shared" ref="K6:O6" ca="1" si="3">(W33/W39)</f>
        <v>1.2718065089482124E-4</v>
      </c>
      <c r="L6" s="120">
        <f t="shared" ca="1" si="3"/>
        <v>0.11832988405937635</v>
      </c>
      <c r="M6" s="120">
        <f t="shared" ca="1" si="3"/>
        <v>8.9287196869408669E-2</v>
      </c>
      <c r="N6" s="120">
        <f t="shared" ca="1" si="3"/>
        <v>2.2665578185350792E-2</v>
      </c>
      <c r="O6" s="121">
        <f t="shared" ca="1" si="3"/>
        <v>-6.12702182871026E-3</v>
      </c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</row>
    <row r="7" spans="1:27" ht="14" x14ac:dyDescent="0.15">
      <c r="A7" s="199"/>
      <c r="B7" s="117" t="s">
        <v>473</v>
      </c>
      <c r="C7" s="120">
        <f t="shared" ref="C7:G7" ca="1" si="4">(Q30/Q39)</f>
        <v>0.11552496051970777</v>
      </c>
      <c r="D7" s="120">
        <f t="shared" ca="1" si="4"/>
        <v>9.8999136130512602E-2</v>
      </c>
      <c r="E7" s="120">
        <f t="shared" ca="1" si="4"/>
        <v>7.6116966873327974E-2</v>
      </c>
      <c r="F7" s="120">
        <f t="shared" ca="1" si="4"/>
        <v>9.5455106783814817E-2</v>
      </c>
      <c r="G7" s="121">
        <f t="shared" ca="1" si="4"/>
        <v>0.11598905708187439</v>
      </c>
      <c r="H7" s="91"/>
      <c r="I7" s="199"/>
      <c r="J7" s="117" t="s">
        <v>473</v>
      </c>
      <c r="K7" s="120">
        <f t="shared" ref="K7:O7" ca="1" si="5">(W30/W39)</f>
        <v>0.10631412363089246</v>
      </c>
      <c r="L7" s="120">
        <f t="shared" ca="1" si="5"/>
        <v>0.19501712623956979</v>
      </c>
      <c r="M7" s="120">
        <f t="shared" ca="1" si="5"/>
        <v>0.1772495043840982</v>
      </c>
      <c r="N7" s="120">
        <f t="shared" ca="1" si="5"/>
        <v>0.1089029500448854</v>
      </c>
      <c r="O7" s="121">
        <f t="shared" ca="1" si="5"/>
        <v>9.0855212937788768E-2</v>
      </c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</row>
    <row r="8" spans="1:27" ht="14" x14ac:dyDescent="0.15">
      <c r="A8" s="199"/>
      <c r="B8" s="122" t="s">
        <v>474</v>
      </c>
      <c r="C8" s="123" t="e">
        <f t="shared" ref="C8:G8" ca="1" si="6">(Q70/Q39)</f>
        <v>#VALUE!</v>
      </c>
      <c r="D8" s="123">
        <f t="shared" ca="1" si="6"/>
        <v>0</v>
      </c>
      <c r="E8" s="123">
        <f t="shared" ca="1" si="6"/>
        <v>0</v>
      </c>
      <c r="F8" s="123">
        <f t="shared" ca="1" si="6"/>
        <v>0</v>
      </c>
      <c r="G8" s="123">
        <f t="shared" ca="1" si="6"/>
        <v>0</v>
      </c>
      <c r="H8" s="91"/>
      <c r="I8" s="199"/>
      <c r="J8" s="122" t="s">
        <v>474</v>
      </c>
      <c r="K8" s="123">
        <f t="shared" ref="K8:O8" ca="1" si="7">(W70/W39)</f>
        <v>1.5376552825827134E-2</v>
      </c>
      <c r="L8" s="123">
        <f t="shared" ca="1" si="7"/>
        <v>8.1268512395102896E-2</v>
      </c>
      <c r="M8" s="123">
        <f t="shared" ca="1" si="7"/>
        <v>5.9589273060595166E-2</v>
      </c>
      <c r="N8" s="123">
        <f t="shared" ca="1" si="7"/>
        <v>9.7871193313474845E-3</v>
      </c>
      <c r="O8" s="123">
        <f t="shared" ca="1" si="7"/>
        <v>-1.6006903996741057E-2</v>
      </c>
      <c r="P8" s="91"/>
      <c r="Q8" s="104" t="s">
        <v>460</v>
      </c>
      <c r="R8" s="91"/>
      <c r="S8" s="91"/>
      <c r="T8" s="91"/>
      <c r="U8" s="91"/>
      <c r="V8" s="91"/>
      <c r="W8" s="91" t="s">
        <v>466</v>
      </c>
      <c r="X8" s="91"/>
      <c r="Y8" s="91"/>
      <c r="Z8" s="91"/>
      <c r="AA8" s="91"/>
    </row>
    <row r="9" spans="1:27" ht="14" x14ac:dyDescent="0.15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104" t="s">
        <v>475</v>
      </c>
      <c r="R9" s="91"/>
      <c r="S9" s="91"/>
      <c r="T9" s="91"/>
      <c r="U9" s="91"/>
      <c r="V9" s="91"/>
      <c r="W9" s="91"/>
      <c r="X9" s="91"/>
      <c r="Y9" s="91"/>
      <c r="Z9" s="91"/>
      <c r="AA9" s="91"/>
    </row>
    <row r="10" spans="1:27" ht="14" x14ac:dyDescent="0.15">
      <c r="A10" s="106"/>
      <c r="B10" s="107" t="s">
        <v>468</v>
      </c>
      <c r="C10" s="108">
        <v>2020</v>
      </c>
      <c r="D10" s="108">
        <v>2021</v>
      </c>
      <c r="E10" s="108">
        <v>2022</v>
      </c>
      <c r="F10" s="108">
        <v>2023</v>
      </c>
      <c r="G10" s="109">
        <v>2024</v>
      </c>
      <c r="H10" s="91"/>
      <c r="I10" s="110"/>
      <c r="J10" s="111" t="s">
        <v>468</v>
      </c>
      <c r="K10" s="112">
        <v>2020</v>
      </c>
      <c r="L10" s="112">
        <v>2021</v>
      </c>
      <c r="M10" s="112">
        <v>2022</v>
      </c>
      <c r="N10" s="112">
        <v>2023</v>
      </c>
      <c r="O10" s="113">
        <v>2024</v>
      </c>
      <c r="P10" s="91"/>
      <c r="Q10" s="124">
        <f ca="1">IFERROR(__xludf.DUMMYFUNCTION("IMPORTRANGE(""https://docs.google.com/spreadsheets/d/1v6b0q46VBcXM7PzH9mOfSHNhCj1F9h5NCCQDJSDxeVU/edit?gid=891716307#gid=891716307)"",""IWB Balance Sheet!D21:H21"")"),93014395)</f>
        <v>93014395</v>
      </c>
      <c r="R10" s="124">
        <f ca="1">IFERROR(__xludf.DUMMYFUNCTION("""COMPUTED_VALUE"""),216066270)</f>
        <v>216066270</v>
      </c>
      <c r="S10" s="125">
        <f ca="1">IFERROR(__xludf.DUMMYFUNCTION("""COMPUTED_VALUE"""),234100646)</f>
        <v>234100646</v>
      </c>
      <c r="T10" s="124">
        <f ca="1">IFERROR(__xludf.DUMMYFUNCTION("""COMPUTED_VALUE"""),212091276)</f>
        <v>212091276</v>
      </c>
      <c r="U10" s="124">
        <f ca="1">IFERROR(__xludf.DUMMYFUNCTION("""COMPUTED_VALUE"""),179258341)</f>
        <v>179258341</v>
      </c>
      <c r="V10" s="91"/>
      <c r="W10" s="126">
        <f ca="1">IFERROR(__xludf.DUMMYFUNCTION("IMPORTRANGE(""https://docs.google.com/spreadsheets/d/1v6b0q46VBcXM7PzH9mOfSHNhCj1F9h5NCCQDJSDxeVU/edit?gid=1290911229#gid=1290911229"",""MASI Balance Sheet!D24:H24"")"),65544525)</f>
        <v>65544525</v>
      </c>
      <c r="X10" s="126">
        <f ca="1">IFERROR(__xludf.DUMMYFUNCTION("""COMPUTED_VALUE"""),78503979)</f>
        <v>78503979</v>
      </c>
      <c r="Y10" s="126">
        <f ca="1">IFERROR(__xludf.DUMMYFUNCTION("""COMPUTED_VALUE"""),81481958)</f>
        <v>81481958</v>
      </c>
      <c r="Z10" s="126">
        <f ca="1">IFERROR(__xludf.DUMMYFUNCTION("""COMPUTED_VALUE"""),64575268)</f>
        <v>64575268</v>
      </c>
      <c r="AA10" s="126">
        <f ca="1">IFERROR(__xludf.DUMMYFUNCTION("""COMPUTED_VALUE"""),57915992)</f>
        <v>57915992</v>
      </c>
    </row>
    <row r="11" spans="1:27" ht="14" x14ac:dyDescent="0.15">
      <c r="A11" s="198" t="s">
        <v>476</v>
      </c>
      <c r="B11" s="114" t="s">
        <v>477</v>
      </c>
      <c r="C11" s="127">
        <f t="shared" ref="C11:G11" ca="1" si="8">Q10/Q13</f>
        <v>1.2529511188145652</v>
      </c>
      <c r="D11" s="127">
        <f t="shared" ca="1" si="8"/>
        <v>1.1802850590304306</v>
      </c>
      <c r="E11" s="127">
        <f t="shared" ca="1" si="8"/>
        <v>1.2289853972893539</v>
      </c>
      <c r="F11" s="127">
        <f t="shared" ca="1" si="8"/>
        <v>1.3199914322123969</v>
      </c>
      <c r="G11" s="127">
        <f t="shared" ca="1" si="8"/>
        <v>1.5140199792520079</v>
      </c>
      <c r="H11" s="91"/>
      <c r="I11" s="204" t="s">
        <v>478</v>
      </c>
      <c r="J11" s="114" t="s">
        <v>477</v>
      </c>
      <c r="K11" s="127">
        <f t="shared" ref="K11:O11" ca="1" si="9">W10/W13</f>
        <v>3.6477101235666933</v>
      </c>
      <c r="L11" s="127">
        <f t="shared" ca="1" si="9"/>
        <v>2.9738022813400145</v>
      </c>
      <c r="M11" s="127">
        <f t="shared" ca="1" si="9"/>
        <v>3.1635143128305803</v>
      </c>
      <c r="N11" s="127">
        <f t="shared" ca="1" si="9"/>
        <v>1.8534547506912074</v>
      </c>
      <c r="O11" s="127">
        <f t="shared" ca="1" si="9"/>
        <v>1.3743226537292317</v>
      </c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</row>
    <row r="12" spans="1:27" ht="14" x14ac:dyDescent="0.15">
      <c r="A12" s="199"/>
      <c r="B12" s="117" t="s">
        <v>479</v>
      </c>
      <c r="C12" s="128">
        <f t="shared" ref="C12:G12" ca="1" si="10">(Q10-Q67)/Q13</f>
        <v>0.90958700339559173</v>
      </c>
      <c r="D12" s="128">
        <f t="shared" ca="1" si="10"/>
        <v>0.75470592780504242</v>
      </c>
      <c r="E12" s="128">
        <f t="shared" ca="1" si="10"/>
        <v>0.69769370423229804</v>
      </c>
      <c r="F12" s="128">
        <f t="shared" ca="1" si="10"/>
        <v>0.83110552640971491</v>
      </c>
      <c r="G12" s="128">
        <f t="shared" ca="1" si="10"/>
        <v>0.96279467127265439</v>
      </c>
      <c r="H12" s="91"/>
      <c r="I12" s="199"/>
      <c r="J12" s="117" t="s">
        <v>479</v>
      </c>
      <c r="K12" s="128">
        <f t="shared" ref="K12:O12" ca="1" si="11">(W10-W67)/W13</f>
        <v>2.0786263785586439</v>
      </c>
      <c r="L12" s="128">
        <f t="shared" ca="1" si="11"/>
        <v>1.7800078186201347</v>
      </c>
      <c r="M12" s="128">
        <f t="shared" ca="1" si="11"/>
        <v>1.7846500252263626</v>
      </c>
      <c r="N12" s="128">
        <f t="shared" ca="1" si="11"/>
        <v>1.0414869332484666</v>
      </c>
      <c r="O12" s="128">
        <f t="shared" ca="1" si="11"/>
        <v>0.73717333284988251</v>
      </c>
      <c r="P12" s="91"/>
      <c r="Q12" s="104" t="s">
        <v>480</v>
      </c>
      <c r="R12" s="91"/>
      <c r="S12" s="91"/>
      <c r="T12" s="91"/>
      <c r="U12" s="91"/>
      <c r="V12" s="91"/>
      <c r="W12" s="91"/>
      <c r="X12" s="91"/>
      <c r="Y12" s="91"/>
      <c r="Z12" s="91"/>
      <c r="AA12" s="91"/>
    </row>
    <row r="13" spans="1:27" ht="14" x14ac:dyDescent="0.15">
      <c r="A13" s="199"/>
      <c r="B13" s="122" t="s">
        <v>481</v>
      </c>
      <c r="C13" s="129">
        <f t="shared" ref="C13:G13" ca="1" si="12">Q16/Q13</f>
        <v>0.44993832662780442</v>
      </c>
      <c r="D13" s="129">
        <f t="shared" ca="1" si="12"/>
        <v>0.32285859193063188</v>
      </c>
      <c r="E13" s="129">
        <f t="shared" ca="1" si="12"/>
        <v>0.32049681489967596</v>
      </c>
      <c r="F13" s="129">
        <f t="shared" ca="1" si="12"/>
        <v>0.4412611703190587</v>
      </c>
      <c r="G13" s="129">
        <f t="shared" ca="1" si="12"/>
        <v>0.50254016237832966</v>
      </c>
      <c r="H13" s="91"/>
      <c r="I13" s="199"/>
      <c r="J13" s="122" t="s">
        <v>481</v>
      </c>
      <c r="K13" s="129">
        <f t="shared" ref="K13:O13" ca="1" si="13">W16/W13</f>
        <v>1.1417752124989502</v>
      </c>
      <c r="L13" s="129">
        <f t="shared" ca="1" si="13"/>
        <v>1.0416435088027662</v>
      </c>
      <c r="M13" s="129">
        <f t="shared" ca="1" si="13"/>
        <v>1.0966003715137584</v>
      </c>
      <c r="N13" s="129">
        <f t="shared" ca="1" si="13"/>
        <v>0.67966599664160843</v>
      </c>
      <c r="O13" s="129">
        <f t="shared" ca="1" si="13"/>
        <v>0.35004514910142809</v>
      </c>
      <c r="P13" s="91"/>
      <c r="Q13" s="124">
        <f ca="1">IFERROR(__xludf.DUMMYFUNCTION("IMPORTRANGE(""https://docs.google.com/spreadsheets/d/1v6b0q46VBcXM7PzH9mOfSHNhCj1F9h5NCCQDJSDxeVU/edit?gid=891716307#gid=891716307"",""IWB Balance Sheet!D56:H56"")"),74236252)</f>
        <v>74236252</v>
      </c>
      <c r="R13" s="124">
        <f ca="1">IFERROR(__xludf.DUMMYFUNCTION("""COMPUTED_VALUE"""),183062785)</f>
        <v>183062785</v>
      </c>
      <c r="S13" s="125">
        <f ca="1">IFERROR(__xludf.DUMMYFUNCTION("""COMPUTED_VALUE"""),190482854)</f>
        <v>190482854</v>
      </c>
      <c r="T13" s="124">
        <f ca="1">IFERROR(__xludf.DUMMYFUNCTION("""COMPUTED_VALUE"""),160676252)</f>
        <v>160676252</v>
      </c>
      <c r="U13" s="124">
        <f ca="1">IFERROR(__xludf.DUMMYFUNCTION("""COMPUTED_VALUE"""),118398927)</f>
        <v>118398927</v>
      </c>
      <c r="V13" s="91"/>
      <c r="W13" s="126">
        <f ca="1">IFERROR(__xludf.DUMMYFUNCTION("IMPORTRANGE(""https://docs.google.com/spreadsheets/d/1v6b0q46VBcXM7PzH9mOfSHNhCj1F9h5NCCQDJSDxeVU/edit?gid=1290911229#gid=1290911229"",""MASI Balance Sheet!D50:H50"")"),17968677)</f>
        <v>17968677</v>
      </c>
      <c r="X13" s="126">
        <f ca="1">IFERROR(__xludf.DUMMYFUNCTION("""COMPUTED_VALUE"""),26398520)</f>
        <v>26398520</v>
      </c>
      <c r="Y13" s="126">
        <f ca="1">IFERROR(__xludf.DUMMYFUNCTION("""COMPUTED_VALUE"""),25756785)</f>
        <v>25756785</v>
      </c>
      <c r="Z13" s="126">
        <f ca="1">IFERROR(__xludf.DUMMYFUNCTION("""COMPUTED_VALUE"""),34840488)</f>
        <v>34840488</v>
      </c>
      <c r="AA13" s="126">
        <f ca="1">IFERROR(__xludf.DUMMYFUNCTION("""COMPUTED_VALUE"""),42141481)</f>
        <v>42141481</v>
      </c>
    </row>
    <row r="14" spans="1:27" ht="13" x14ac:dyDescent="0.15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</row>
    <row r="15" spans="1:27" ht="14" x14ac:dyDescent="0.15">
      <c r="A15" s="106"/>
      <c r="B15" s="107" t="s">
        <v>468</v>
      </c>
      <c r="C15" s="108">
        <v>2020</v>
      </c>
      <c r="D15" s="108">
        <v>2021</v>
      </c>
      <c r="E15" s="108">
        <v>2022</v>
      </c>
      <c r="F15" s="108">
        <v>2023</v>
      </c>
      <c r="G15" s="109">
        <v>2024</v>
      </c>
      <c r="H15" s="91"/>
      <c r="I15" s="110"/>
      <c r="J15" s="111" t="s">
        <v>468</v>
      </c>
      <c r="K15" s="112">
        <v>2020</v>
      </c>
      <c r="L15" s="112">
        <v>2021</v>
      </c>
      <c r="M15" s="112">
        <v>2022</v>
      </c>
      <c r="N15" s="112">
        <v>2023</v>
      </c>
      <c r="O15" s="113">
        <v>2024</v>
      </c>
      <c r="P15" s="91"/>
      <c r="Q15" s="104" t="s">
        <v>482</v>
      </c>
      <c r="R15" s="91"/>
      <c r="S15" s="91"/>
      <c r="T15" s="91"/>
      <c r="U15" s="91"/>
      <c r="V15" s="91"/>
      <c r="W15" s="91"/>
      <c r="X15" s="91"/>
      <c r="Y15" s="91"/>
      <c r="Z15" s="91"/>
      <c r="AA15" s="91"/>
    </row>
    <row r="16" spans="1:27" ht="14" x14ac:dyDescent="0.15">
      <c r="A16" s="198" t="s">
        <v>483</v>
      </c>
      <c r="B16" s="114" t="s">
        <v>484</v>
      </c>
      <c r="C16" s="127">
        <f t="shared" ref="C16:G16" ca="1" si="14">Q25/Q28</f>
        <v>0.96250168471720698</v>
      </c>
      <c r="D16" s="127">
        <f t="shared" ca="1" si="14"/>
        <v>1.9933144377379839</v>
      </c>
      <c r="E16" s="127">
        <f t="shared" ca="1" si="14"/>
        <v>1.7845902653405108</v>
      </c>
      <c r="F16" s="127">
        <f t="shared" ca="1" si="14"/>
        <v>1.4375186694136313</v>
      </c>
      <c r="G16" s="127">
        <f t="shared" ca="1" si="14"/>
        <v>1.0772893891434197</v>
      </c>
      <c r="H16" s="91"/>
      <c r="I16" s="204" t="s">
        <v>485</v>
      </c>
      <c r="J16" s="114" t="s">
        <v>484</v>
      </c>
      <c r="K16" s="127">
        <f t="shared" ref="K16:O16" ca="1" si="15">(W25/W28)</f>
        <v>0.40602632260430399</v>
      </c>
      <c r="L16" s="127">
        <f t="shared" ca="1" si="15"/>
        <v>0.49821251778991216</v>
      </c>
      <c r="M16" s="127">
        <f t="shared" ca="1" si="15"/>
        <v>0.52430790551935713</v>
      </c>
      <c r="N16" s="127">
        <f t="shared" ca="1" si="15"/>
        <v>0.54880089172378987</v>
      </c>
      <c r="O16" s="127">
        <f t="shared" ca="1" si="15"/>
        <v>0.52633520577335013</v>
      </c>
      <c r="P16" s="91"/>
      <c r="Q16" s="124">
        <f ca="1">IFERROR(__xludf.DUMMYFUNCTION("IMPORTRANGE(""https://docs.google.com/spreadsheets/d/1v6b0q46VBcXM7PzH9mOfSHNhCj1F9h5NCCQDJSDxeVU/edit?gid=891716307#gid=891716307"",""IWB Balance Sheet!D20:H20"")"),33401735)</f>
        <v>33401735</v>
      </c>
      <c r="R16" s="124">
        <f ca="1">IFERROR(__xludf.DUMMYFUNCTION("""COMPUTED_VALUE"""),59103393)</f>
        <v>59103393</v>
      </c>
      <c r="S16" s="124">
        <f ca="1">IFERROR(__xludf.DUMMYFUNCTION("""COMPUTED_VALUE"""),61049148)</f>
        <v>61049148</v>
      </c>
      <c r="T16" s="124">
        <f ca="1">IFERROR(__xludf.DUMMYFUNCTION("""COMPUTED_VALUE"""),70900191)</f>
        <v>70900191</v>
      </c>
      <c r="U16" s="124">
        <f ca="1">IFERROR(__xludf.DUMMYFUNCTION("""COMPUTED_VALUE"""),59500216)</f>
        <v>59500216</v>
      </c>
      <c r="V16" s="91"/>
      <c r="W16" s="126">
        <f ca="1">IFERROR(__xludf.DUMMYFUNCTION("IMPORTRANGE(""https://docs.google.com/spreadsheets/d/1v6b0q46VBcXM7PzH9mOfSHNhCj1F9h5NCCQDJSDxeVU/edit?gid=1290911229#gid=1290911229"",""MAsi Balance Sheet!D23:H23"")"),20516190)</f>
        <v>20516190</v>
      </c>
      <c r="X16" s="126">
        <f ca="1">IFERROR(__xludf.DUMMYFUNCTION("""COMPUTED_VALUE"""),27497847)</f>
        <v>27497847</v>
      </c>
      <c r="Y16" s="126">
        <f ca="1">IFERROR(__xludf.DUMMYFUNCTION("""COMPUTED_VALUE"""),28244900)</f>
        <v>28244900</v>
      </c>
      <c r="Z16" s="126">
        <f ca="1">IFERROR(__xludf.DUMMYFUNCTION("""COMPUTED_VALUE"""),23679895)</f>
        <v>23679895</v>
      </c>
      <c r="AA16" s="126">
        <f ca="1">IFERROR(__xludf.DUMMYFUNCTION("""COMPUTED_VALUE"""),14751421)</f>
        <v>14751421</v>
      </c>
    </row>
    <row r="17" spans="1:27" ht="14" x14ac:dyDescent="0.15">
      <c r="A17" s="199"/>
      <c r="B17" s="117" t="s">
        <v>486</v>
      </c>
      <c r="C17" s="129">
        <f t="shared" ref="C17:G17" ca="1" si="16">Q64/Q28</f>
        <v>2.1253293743527406</v>
      </c>
      <c r="D17" s="129">
        <f t="shared" ca="1" si="16"/>
        <v>3.1330593656435237</v>
      </c>
      <c r="E17" s="129">
        <f t="shared" ca="1" si="16"/>
        <v>2.9036442975704579</v>
      </c>
      <c r="F17" s="129">
        <f t="shared" ca="1" si="16"/>
        <v>2.5636331400558796</v>
      </c>
      <c r="G17" s="129">
        <f t="shared" ca="1" si="16"/>
        <v>2.1624322400280023</v>
      </c>
      <c r="H17" s="91"/>
      <c r="I17" s="199"/>
      <c r="J17" s="117" t="s">
        <v>486</v>
      </c>
      <c r="K17" s="128">
        <f t="shared" ref="K17:O17" ca="1" si="17">(W64/W28)</f>
        <v>0.96564756642872995</v>
      </c>
      <c r="L17" s="128">
        <f t="shared" ca="1" si="17"/>
        <v>0.96735706336056293</v>
      </c>
      <c r="M17" s="128">
        <f t="shared" ca="1" si="17"/>
        <v>0.96764276850296049</v>
      </c>
      <c r="N17" s="128">
        <f t="shared" ca="1" si="17"/>
        <v>0.9666356294005729</v>
      </c>
      <c r="O17" s="128">
        <f t="shared" ca="1" si="17"/>
        <v>0.96561238799149174</v>
      </c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</row>
    <row r="18" spans="1:27" ht="14" x14ac:dyDescent="0.15">
      <c r="A18" s="199"/>
      <c r="B18" s="122" t="s">
        <v>487</v>
      </c>
      <c r="C18" s="130">
        <f t="shared" ref="C18:G18" ca="1" si="18">(Q33/Q36)*-1</f>
        <v>12.150680856194411</v>
      </c>
      <c r="D18" s="130">
        <f t="shared" ca="1" si="18"/>
        <v>4.1881894664288479</v>
      </c>
      <c r="E18" s="130">
        <f t="shared" ca="1" si="18"/>
        <v>1.9454133298786427</v>
      </c>
      <c r="F18" s="130">
        <f t="shared" ca="1" si="18"/>
        <v>2.1075566938036623</v>
      </c>
      <c r="G18" s="130">
        <f t="shared" ca="1" si="18"/>
        <v>4.4909717215086369</v>
      </c>
      <c r="H18" s="91"/>
      <c r="I18" s="199"/>
      <c r="J18" s="122" t="s">
        <v>487</v>
      </c>
      <c r="K18" s="129">
        <f t="shared" ref="K18:O18" ca="1" si="19">(W33/W36)</f>
        <v>1.160040803504301E-2</v>
      </c>
      <c r="L18" s="129">
        <f t="shared" ca="1" si="19"/>
        <v>7.7049429769700541</v>
      </c>
      <c r="M18" s="129">
        <f t="shared" ca="1" si="19"/>
        <v>4.7473152894222936</v>
      </c>
      <c r="N18" s="129">
        <f t="shared" ca="1" si="19"/>
        <v>0.95885785754678055</v>
      </c>
      <c r="O18" s="129">
        <f t="shared" ca="1" si="19"/>
        <v>-0.13925828297377768</v>
      </c>
      <c r="P18" s="91"/>
      <c r="Q18" s="91" t="s">
        <v>51</v>
      </c>
      <c r="R18" s="91"/>
      <c r="S18" s="91"/>
      <c r="T18" s="91"/>
      <c r="U18" s="91"/>
      <c r="V18" s="91"/>
      <c r="W18" s="91"/>
      <c r="X18" s="91"/>
      <c r="Y18" s="91"/>
      <c r="Z18" s="91"/>
      <c r="AA18" s="91"/>
    </row>
    <row r="19" spans="1:27" ht="13" x14ac:dyDescent="0.15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124">
        <f ca="1">IFERROR(__xludf.DUMMYFUNCTION("IMPORTRANGE(""https://docs.google.com/spreadsheets/d/1v6b0q46VBcXM7PzH9mOfSHNhCj1F9h5NCCQDJSDxeVU/edit?gid=891716307#gid=891716307"",""IWB Balance Sheet!D16:H16"")"),30566837)</f>
        <v>30566837</v>
      </c>
      <c r="R19" s="124">
        <f ca="1">IFERROR(__xludf.DUMMYFUNCTION("""COMPUTED_VALUE"""),68143859)</f>
        <v>68143859</v>
      </c>
      <c r="S19" s="124">
        <f ca="1">IFERROR(__xludf.DUMMYFUNCTION("""COMPUTED_VALUE"""),61599269)</f>
        <v>61599269</v>
      </c>
      <c r="T19" s="124">
        <f ca="1">IFERROR(__xludf.DUMMYFUNCTION("""COMPUTED_VALUE"""),52129713)</f>
        <v>52129713</v>
      </c>
      <c r="U19" s="124">
        <f ca="1">IFERROR(__xludf.DUMMYFUNCTION("""COMPUTED_VALUE"""),50612573)</f>
        <v>50612573</v>
      </c>
      <c r="V19" s="91"/>
      <c r="W19" s="126">
        <f ca="1">IFERROR(__xludf.DUMMYFUNCTION("IMPORTRANGE(""https://docs.google.com/spreadsheets/d/1v6b0q46VBcXM7PzH9mOfSHNhCj1F9h5NCCQDJSDxeVU/edit?gid=1290911229#gid=1290911229"",""MASI Balance Sheet!D19:H19"")"),12485719)</f>
        <v>12485719</v>
      </c>
      <c r="X19" s="126">
        <f ca="1">IFERROR(__xludf.DUMMYFUNCTION("""COMPUTED_VALUE"""),15418674)</f>
        <v>15418674</v>
      </c>
      <c r="Y19" s="126">
        <f ca="1">IFERROR(__xludf.DUMMYFUNCTION("""COMPUTED_VALUE"""),13703612)</f>
        <v>13703612</v>
      </c>
      <c r="Z19" s="126">
        <f ca="1">IFERROR(__xludf.DUMMYFUNCTION("""COMPUTED_VALUE"""),9444353)</f>
        <v>9444353</v>
      </c>
      <c r="AA19" s="126">
        <f ca="1">IFERROR(__xludf.DUMMYFUNCTION("""COMPUTED_VALUE"""),11994534)</f>
        <v>11994534</v>
      </c>
    </row>
    <row r="20" spans="1:27" ht="14" x14ac:dyDescent="0.15">
      <c r="A20" s="106"/>
      <c r="B20" s="107" t="s">
        <v>468</v>
      </c>
      <c r="C20" s="108">
        <v>2020</v>
      </c>
      <c r="D20" s="108">
        <v>2021</v>
      </c>
      <c r="E20" s="108">
        <v>2022</v>
      </c>
      <c r="F20" s="108">
        <v>2023</v>
      </c>
      <c r="G20" s="109">
        <v>2024</v>
      </c>
      <c r="H20" s="91"/>
      <c r="I20" s="110"/>
      <c r="J20" s="111" t="s">
        <v>468</v>
      </c>
      <c r="K20" s="112">
        <v>2020</v>
      </c>
      <c r="L20" s="112">
        <v>2021</v>
      </c>
      <c r="M20" s="112">
        <v>2022</v>
      </c>
      <c r="N20" s="112">
        <v>2023</v>
      </c>
      <c r="O20" s="113">
        <v>2024</v>
      </c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</row>
    <row r="21" spans="1:27" ht="14" x14ac:dyDescent="0.15">
      <c r="A21" s="200" t="s">
        <v>488</v>
      </c>
      <c r="B21" s="114" t="s">
        <v>489</v>
      </c>
      <c r="C21" s="131">
        <f t="shared" ref="C21:G21" ca="1" si="20">Q39/Q64</f>
        <v>0.91973964064221914</v>
      </c>
      <c r="D21" s="131">
        <f t="shared" ca="1" si="20"/>
        <v>0.62502014979313913</v>
      </c>
      <c r="E21" s="131">
        <f t="shared" ca="1" si="20"/>
        <v>0.69596040699248929</v>
      </c>
      <c r="F21" s="131">
        <f t="shared" ca="1" si="20"/>
        <v>0.79903605593447524</v>
      </c>
      <c r="G21" s="131">
        <f t="shared" ca="1" si="20"/>
        <v>0.8205053351991064</v>
      </c>
      <c r="H21" s="91"/>
      <c r="I21" s="201" t="s">
        <v>490</v>
      </c>
      <c r="J21" s="114" t="s">
        <v>489</v>
      </c>
      <c r="K21" s="127">
        <f t="shared" ref="K21:O21" ca="1" si="21">(W39/W64)</f>
        <v>0.41610313251107706</v>
      </c>
      <c r="L21" s="127">
        <f t="shared" ca="1" si="21"/>
        <v>0.50681627359511339</v>
      </c>
      <c r="M21" s="127">
        <f t="shared" ca="1" si="21"/>
        <v>0.55630331536105571</v>
      </c>
      <c r="N21" s="127">
        <f t="shared" ca="1" si="21"/>
        <v>0.50840154741536125</v>
      </c>
      <c r="O21" s="127">
        <f t="shared" ca="1" si="21"/>
        <v>0.51004729239564073</v>
      </c>
      <c r="P21" s="91"/>
      <c r="Q21" s="91" t="s">
        <v>54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</row>
    <row r="22" spans="1:27" ht="14" x14ac:dyDescent="0.15">
      <c r="A22" s="199"/>
      <c r="B22" s="117" t="s">
        <v>491</v>
      </c>
      <c r="C22" s="128">
        <f t="shared" ref="C22:G22" ca="1" si="22">(Q45/Q67)</f>
        <v>4.8509194856898166</v>
      </c>
      <c r="D22" s="128">
        <f t="shared" ca="1" si="22"/>
        <v>2.7943933552858913</v>
      </c>
      <c r="E22" s="128">
        <f t="shared" ca="1" si="22"/>
        <v>2.6856166952817255</v>
      </c>
      <c r="F22" s="128">
        <f t="shared" ca="1" si="22"/>
        <v>3.4607138130995563</v>
      </c>
      <c r="G22" s="128">
        <f t="shared" ca="1" si="22"/>
        <v>3.8050165721831712</v>
      </c>
      <c r="H22" s="91"/>
      <c r="I22" s="199"/>
      <c r="J22" s="117" t="s">
        <v>491</v>
      </c>
      <c r="K22" s="128">
        <f t="shared" ref="K22:O22" ca="1" si="23">(W42/W67)</f>
        <v>0.65721820453516966</v>
      </c>
      <c r="L22" s="128">
        <f t="shared" ca="1" si="23"/>
        <v>0.78329416130216256</v>
      </c>
      <c r="M22" s="128">
        <f t="shared" ca="1" si="23"/>
        <v>0.83785496263829784</v>
      </c>
      <c r="N22" s="128">
        <f t="shared" ca="1" si="23"/>
        <v>0.93116184515341549</v>
      </c>
      <c r="O22" s="128">
        <f t="shared" ca="1" si="23"/>
        <v>0.9931026022092172</v>
      </c>
      <c r="P22" s="91"/>
      <c r="Q22" s="124">
        <f ca="1">IFERROR(__xludf.DUMMYFUNCTION("IMPORTRANGE(""https://docs.google.com/spreadsheets/d/1v6b0q46VBcXM7PzH9mOfSHNhCj1F9h5NCCQDJSDxeVU/edit?gid=891716307#gid=891716307"",""IWB Balance Sheet!D19:H19"")"),57426)</f>
        <v>57426</v>
      </c>
      <c r="R22" s="124">
        <f ca="1">IFERROR(__xludf.DUMMYFUNCTION("""COMPUTED_VALUE"""),1113163)</f>
        <v>1113163</v>
      </c>
      <c r="S22" s="124">
        <f ca="1">IFERROR(__xludf.DUMMYFUNCTION("""COMPUTED_VALUE"""),674237)</f>
        <v>674237</v>
      </c>
      <c r="T22" s="124">
        <f ca="1">IFERROR(__xludf.DUMMYFUNCTION("""COMPUTED_VALUE"""),524162)</f>
        <v>524162</v>
      </c>
      <c r="U22" s="124">
        <f ca="1">IFERROR(__xludf.DUMMYFUNCTION("""COMPUTED_VALUE"""),528760)</f>
        <v>528760</v>
      </c>
      <c r="V22" s="91"/>
      <c r="W22" s="126">
        <f ca="1">IFERROR(__xludf.DUMMYFUNCTION("IMPORTRANGE(""https://docs.google.com/spreadsheets/d/1v6b0q46VBcXM7PzH9mOfSHNhCj1F9h5NCCQDJSDxeVU/edit?gid=1290911229#gid=1290911229"",""Masi Balance Sheet!D22:H22"")"),1033)</f>
        <v>1033</v>
      </c>
      <c r="X22" s="126">
        <f ca="1">IFERROR(__xludf.DUMMYFUNCTION("""COMPUTED_VALUE"""),1033)</f>
        <v>1033</v>
      </c>
      <c r="Y22" s="126">
        <f ca="1">IFERROR(__xludf.DUMMYFUNCTION("""COMPUTED_VALUE"""),857573)</f>
        <v>857573</v>
      </c>
      <c r="Z22" s="126">
        <f ca="1">IFERROR(__xludf.DUMMYFUNCTION("""COMPUTED_VALUE"""),341906)</f>
        <v>341906</v>
      </c>
      <c r="AA22" s="126">
        <f ca="1">IFERROR(__xludf.DUMMYFUNCTION("""COMPUTED_VALUE"""),1225178)</f>
        <v>1225178</v>
      </c>
    </row>
    <row r="23" spans="1:27" ht="14" x14ac:dyDescent="0.15">
      <c r="A23" s="199"/>
      <c r="B23" s="122" t="s">
        <v>492</v>
      </c>
      <c r="C23" s="129">
        <f t="shared" ref="C23:G23" ca="1" si="24">(Q39/Q19)</f>
        <v>6.6840880853979101</v>
      </c>
      <c r="D23" s="129">
        <f t="shared" ca="1" si="24"/>
        <v>4.5965508498718863</v>
      </c>
      <c r="E23" s="129">
        <f t="shared" ca="1" si="24"/>
        <v>6.3418663945508831</v>
      </c>
      <c r="F23" s="129">
        <f t="shared" ca="1" si="24"/>
        <v>8.2319172944612227</v>
      </c>
      <c r="G23" s="129">
        <f t="shared" ca="1" si="24"/>
        <v>7.9414462686969109</v>
      </c>
      <c r="H23" s="91"/>
      <c r="I23" s="199"/>
      <c r="J23" s="122" t="s">
        <v>492</v>
      </c>
      <c r="K23" s="129">
        <f t="shared" ref="K23:O23" ca="1" si="25">(W39/W19)</f>
        <v>4.1393202906456565</v>
      </c>
      <c r="L23" s="129">
        <f t="shared" ca="1" si="25"/>
        <v>4.3046776914798253</v>
      </c>
      <c r="M23" s="129">
        <f t="shared" ca="1" si="25"/>
        <v>5.4538034935606756</v>
      </c>
      <c r="N23" s="129">
        <f t="shared" ca="1" si="25"/>
        <v>7.0339806231300335</v>
      </c>
      <c r="O23" s="129">
        <f t="shared" ca="1" si="25"/>
        <v>5.5726452565810396</v>
      </c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</row>
    <row r="24" spans="1:27" ht="13" x14ac:dyDescent="0.15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 t="s">
        <v>493</v>
      </c>
      <c r="R24" s="91"/>
      <c r="S24" s="91"/>
      <c r="T24" s="91"/>
      <c r="U24" s="91"/>
      <c r="V24" s="91"/>
      <c r="W24" s="91"/>
      <c r="X24" s="91"/>
      <c r="Y24" s="91"/>
      <c r="Z24" s="91"/>
      <c r="AA24" s="91"/>
    </row>
    <row r="25" spans="1:27" ht="13" x14ac:dyDescent="0.15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124">
        <f t="shared" ref="Q25:U25" ca="1" si="26">SUM(Q48+Q51+Q54+Q58+Q61)</f>
        <v>100601166</v>
      </c>
      <c r="R25" s="124">
        <f t="shared" ca="1" si="26"/>
        <v>318839385</v>
      </c>
      <c r="S25" s="124">
        <f t="shared" ca="1" si="26"/>
        <v>344987389</v>
      </c>
      <c r="T25" s="124">
        <f t="shared" ca="1" si="26"/>
        <v>301146328</v>
      </c>
      <c r="U25" s="124">
        <f t="shared" ca="1" si="26"/>
        <v>244043072</v>
      </c>
      <c r="V25" s="91"/>
      <c r="W25" s="126">
        <f ca="1">IFERROR(__xludf.DUMMYFUNCTION("IMPORTRANGE(""https://docs.google.com/spreadsheets/d/1v6b0q46VBcXM7PzH9mOfSHNhCj1F9h5NCCQDJSDxeVU/edit?gid=1290911229#gid=1290911229"",""Masi Balance Sheet!D51:H51"")"),52224843)</f>
        <v>52224843</v>
      </c>
      <c r="X25" s="126">
        <f ca="1">IFERROR(__xludf.DUMMYFUNCTION("""COMPUTED_VALUE"""),67447358)</f>
        <v>67447358</v>
      </c>
      <c r="Y25" s="126">
        <f ca="1">IFERROR(__xludf.DUMMYFUNCTION("""COMPUTED_VALUE"""),72793775)</f>
        <v>72793775</v>
      </c>
      <c r="Z25" s="126">
        <f ca="1">IFERROR(__xludf.DUMMYFUNCTION("""COMPUTED_VALUE"""),74185414)</f>
        <v>74185414</v>
      </c>
      <c r="AA25" s="126">
        <f ca="1">IFERROR(__xludf.DUMMYFUNCTION("""COMPUTED_VALUE"""),71432183)</f>
        <v>71432183</v>
      </c>
    </row>
    <row r="26" spans="1:27" ht="13" x14ac:dyDescent="0.15">
      <c r="A26" s="91"/>
      <c r="B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</row>
    <row r="27" spans="1:27" ht="13" x14ac:dyDescent="0.15">
      <c r="A27" s="91"/>
      <c r="B27" s="91"/>
      <c r="C27" s="91"/>
      <c r="D27" s="91"/>
      <c r="E27" s="132"/>
      <c r="F27" s="132"/>
      <c r="G27" s="132"/>
      <c r="H27" s="132"/>
      <c r="I27" s="132"/>
      <c r="J27" s="133" t="s">
        <v>494</v>
      </c>
      <c r="K27" s="132"/>
      <c r="L27" s="91"/>
      <c r="M27" s="91"/>
      <c r="N27" s="91"/>
      <c r="O27" s="91"/>
      <c r="P27" s="91"/>
      <c r="Q27" s="91" t="s">
        <v>495</v>
      </c>
      <c r="R27" s="91"/>
      <c r="S27" s="91"/>
      <c r="T27" s="91"/>
      <c r="U27" s="91"/>
      <c r="V27" s="91"/>
      <c r="W27" s="91"/>
      <c r="X27" s="91"/>
      <c r="Y27" s="91"/>
      <c r="Z27" s="91"/>
      <c r="AA27" s="91"/>
    </row>
    <row r="28" spans="1:27" ht="13" x14ac:dyDescent="0.15">
      <c r="A28" s="91"/>
      <c r="B28" s="91"/>
      <c r="C28" s="91"/>
      <c r="D28" s="91"/>
      <c r="E28" s="133" t="s">
        <v>496</v>
      </c>
      <c r="F28" s="132"/>
      <c r="G28" s="132"/>
      <c r="H28" s="132"/>
      <c r="I28" s="132"/>
      <c r="J28" s="133"/>
      <c r="K28" s="132"/>
      <c r="L28" s="91"/>
      <c r="M28" s="91"/>
      <c r="N28" s="91"/>
      <c r="O28" s="91"/>
      <c r="P28" s="91"/>
      <c r="Q28" s="124">
        <f ca="1">IFERROR(__xludf.DUMMYFUNCTION("IMPORTRANGE(""https://docs.google.com/spreadsheets/d/1v6b0q46VBcXM7PzH9mOfSHNhCj1F9h5NCCQDJSDxeVU/edit?gid=891716307#gid=891716307"",""IWB Balance Sheet!D38:H38"")"),104520509)</f>
        <v>104520509</v>
      </c>
      <c r="R28" s="124">
        <f ca="1">IFERROR(__xludf.DUMMYFUNCTION("""COMPUTED_VALUE"""),159954385)</f>
        <v>159954385</v>
      </c>
      <c r="S28" s="124">
        <f ca="1">IFERROR(__xludf.DUMMYFUNCTION("""COMPUTED_VALUE"""),193314620)</f>
        <v>193314620</v>
      </c>
      <c r="T28" s="124">
        <f ca="1">IFERROR(__xludf.DUMMYFUNCTION("""COMPUTED_VALUE"""),209490377)</f>
        <v>209490377</v>
      </c>
      <c r="U28" s="124">
        <f ca="1">IFERROR(__xludf.DUMMYFUNCTION("""COMPUTED_VALUE"""),226534369)</f>
        <v>226534369</v>
      </c>
      <c r="V28" s="91"/>
      <c r="W28" s="126">
        <f ca="1">IFERROR(__xludf.DUMMYFUNCTION("IMPORTRANGE(""https://docs.google.com/spreadsheets/d/1v6b0q46VBcXM7PzH9mOfSHNhCj1F9h5NCCQDJSDxeVU/edit?gid=1290911229#gid=1290911229"",""MASI Balance Sheet!D35:H35"")"),128624279)</f>
        <v>128624279</v>
      </c>
      <c r="X28" s="126">
        <f ca="1">IFERROR(__xludf.DUMMYFUNCTION("""COMPUTED_VALUE"""),135378690)</f>
        <v>135378690</v>
      </c>
      <c r="Y28" s="126">
        <f ca="1">IFERROR(__xludf.DUMMYFUNCTION("""COMPUTED_VALUE"""),138837836)</f>
        <v>138837836</v>
      </c>
      <c r="Z28" s="126">
        <f ca="1">IFERROR(__xludf.DUMMYFUNCTION("""COMPUTED_VALUE"""),135177284)</f>
        <v>135177284</v>
      </c>
      <c r="AA28" s="126">
        <f ca="1">IFERROR(__xludf.DUMMYFUNCTION("""COMPUTED_VALUE"""),135716141)</f>
        <v>135716141</v>
      </c>
    </row>
    <row r="29" spans="1:27" ht="14" x14ac:dyDescent="0.15">
      <c r="A29" s="91"/>
      <c r="B29" s="91"/>
      <c r="C29" s="91"/>
      <c r="D29" s="91"/>
      <c r="E29" s="133"/>
      <c r="F29" s="132"/>
      <c r="G29" s="132"/>
      <c r="H29" s="132"/>
      <c r="I29" s="132"/>
      <c r="J29" s="133" t="s">
        <v>497</v>
      </c>
      <c r="K29" s="132"/>
      <c r="L29" s="91"/>
      <c r="M29" s="91"/>
      <c r="N29" s="91"/>
      <c r="O29" s="91"/>
      <c r="P29" s="91"/>
      <c r="Q29" s="104" t="s">
        <v>11</v>
      </c>
      <c r="R29" s="91"/>
      <c r="S29" s="91"/>
      <c r="T29" s="91"/>
      <c r="U29" s="91"/>
      <c r="V29" s="91"/>
      <c r="W29" s="91"/>
      <c r="X29" s="91"/>
      <c r="Y29" s="91"/>
      <c r="Z29" s="91"/>
      <c r="AA29" s="91"/>
    </row>
    <row r="30" spans="1:27" ht="13" x14ac:dyDescent="0.15">
      <c r="A30" s="91"/>
      <c r="B30" s="91"/>
      <c r="C30" s="91"/>
      <c r="D30" s="91"/>
      <c r="E30" s="133" t="s">
        <v>498</v>
      </c>
      <c r="F30" s="132"/>
      <c r="G30" s="132"/>
      <c r="H30" s="132"/>
      <c r="I30" s="132"/>
      <c r="J30" s="133"/>
      <c r="K30" s="132"/>
      <c r="L30" s="91"/>
      <c r="M30" s="91"/>
      <c r="N30" s="91"/>
      <c r="O30" s="91"/>
      <c r="P30" s="91"/>
      <c r="Q30" s="126">
        <v>23603070</v>
      </c>
      <c r="R30" s="126">
        <v>31009174</v>
      </c>
      <c r="S30" s="126">
        <v>29735423</v>
      </c>
      <c r="T30" s="126">
        <v>40962410</v>
      </c>
      <c r="U30" s="126">
        <v>46620297</v>
      </c>
      <c r="V30" s="91"/>
      <c r="W30" s="126">
        <f ca="1">IFERROR(__xludf.DUMMYFUNCTION("IMPORTRANGE(""https://docs.google.com/spreadsheets/d/1v6b0q46VBcXM7PzH9mOfSHNhCj1F9h5NCCQDJSDxeVU/edit?gid=964636035#gid=964636035"",""MASI Income Statements!D12:H12"")"),5494568)</f>
        <v>5494568</v>
      </c>
      <c r="X30" s="126">
        <f ca="1">IFERROR(__xludf.DUMMYFUNCTION("""COMPUTED_VALUE"""),12943759)</f>
        <v>12943759</v>
      </c>
      <c r="Y30" s="126">
        <f ca="1">IFERROR(__xludf.DUMMYFUNCTION("""COMPUTED_VALUE"""),13247062)</f>
        <v>13247062</v>
      </c>
      <c r="Z30" s="126">
        <f ca="1">IFERROR(__xludf.DUMMYFUNCTION("""COMPUTED_VALUE"""),7234575)</f>
        <v>7234575</v>
      </c>
      <c r="AA30" s="126">
        <f ca="1">IFERROR(__xludf.DUMMYFUNCTION("""COMPUTED_VALUE"""),6072879)</f>
        <v>6072879</v>
      </c>
    </row>
    <row r="31" spans="1:27" ht="13" x14ac:dyDescent="0.15">
      <c r="A31" s="91"/>
      <c r="B31" s="91"/>
      <c r="C31" s="91"/>
      <c r="D31" s="91"/>
      <c r="E31" s="133"/>
      <c r="F31" s="132"/>
      <c r="G31" s="132"/>
      <c r="H31" s="132"/>
      <c r="I31" s="132"/>
      <c r="J31" s="134" t="s">
        <v>499</v>
      </c>
      <c r="K31" s="132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</row>
    <row r="32" spans="1:27" ht="14" x14ac:dyDescent="0.15">
      <c r="A32" s="91"/>
      <c r="B32" s="91"/>
      <c r="C32" s="91"/>
      <c r="D32" s="91"/>
      <c r="E32" s="133"/>
      <c r="F32" s="132"/>
      <c r="G32" s="132"/>
      <c r="H32" s="132"/>
      <c r="I32" s="132"/>
      <c r="J32" s="134"/>
      <c r="K32" s="132"/>
      <c r="L32" s="91"/>
      <c r="M32" s="91"/>
      <c r="N32" s="91"/>
      <c r="O32" s="91"/>
      <c r="P32" s="91"/>
      <c r="Q32" s="104" t="s">
        <v>20</v>
      </c>
      <c r="R32" s="91"/>
      <c r="S32" s="91"/>
      <c r="T32" s="91"/>
      <c r="U32" s="91"/>
      <c r="V32" s="91"/>
      <c r="W32" s="91"/>
      <c r="X32" s="91"/>
      <c r="Y32" s="91"/>
      <c r="Z32" s="91"/>
      <c r="AA32" s="91"/>
    </row>
    <row r="33" spans="1:27" ht="13" x14ac:dyDescent="0.15">
      <c r="A33" s="91"/>
      <c r="B33" s="91"/>
      <c r="C33" s="91"/>
      <c r="D33" s="91"/>
      <c r="E33" s="133" t="s">
        <v>500</v>
      </c>
      <c r="F33" s="132"/>
      <c r="G33" s="132"/>
      <c r="H33" s="132"/>
      <c r="I33" s="132"/>
      <c r="J33" s="134"/>
      <c r="K33" s="132"/>
      <c r="L33" s="91"/>
      <c r="M33" s="91"/>
      <c r="N33" s="91"/>
      <c r="O33" s="91"/>
      <c r="P33" s="91"/>
      <c r="Q33" s="124">
        <f ca="1">IFERROR(__xludf.DUMMYFUNCTION("IMPORTRANGE(""https://docs.google.com/spreadsheets/d/1v6b0q46VBcXM7PzH9mOfSHNhCj1F9h5NCCQDJSDxeVU/edit?gid=952834811#gid=952834811"",""IWB Income Statements!D22:H22"")"),17031500)</f>
        <v>17031500</v>
      </c>
      <c r="R33" s="124">
        <f ca="1">IFERROR(__xludf.DUMMYFUNCTION("""COMPUTED_VALUE"""),18970400)</f>
        <v>18970400</v>
      </c>
      <c r="S33" s="124">
        <f ca="1">IFERROR(__xludf.DUMMYFUNCTION("""COMPUTED_VALUE"""),13695134)</f>
        <v>13695134</v>
      </c>
      <c r="T33" s="124">
        <f ca="1">IFERROR(__xludf.DUMMYFUNCTION("""COMPUTED_VALUE"""),19574074)</f>
        <v>19574074</v>
      </c>
      <c r="U33" s="124">
        <f ca="1">IFERROR(__xludf.DUMMYFUNCTION("""COMPUTED_VALUE"""),30843886)</f>
        <v>30843886</v>
      </c>
      <c r="V33" s="91"/>
      <c r="W33" s="126">
        <f ca="1">IFERROR(__xludf.DUMMYFUNCTION("IMPORTRANGE(""https://docs.google.com/spreadsheets/d/1v6b0q46VBcXM7PzH9mOfSHNhCj1F9h5NCCQDJSDxeVU/edit?gid=964636035#gid=964636035"",""MASI Income Statements!D20:H20"")"),6573)</f>
        <v>6573</v>
      </c>
      <c r="X33" s="126">
        <f ca="1">IFERROR(__xludf.DUMMYFUNCTION("""COMPUTED_VALUE"""),7853841)</f>
        <v>7853841</v>
      </c>
      <c r="Y33" s="126">
        <f ca="1">IFERROR(__xludf.DUMMYFUNCTION("""COMPUTED_VALUE"""),6673040)</f>
        <v>6673040</v>
      </c>
      <c r="Z33" s="126">
        <f ca="1">IFERROR(__xludf.DUMMYFUNCTION("""COMPUTED_VALUE"""),1505706)</f>
        <v>1505706</v>
      </c>
      <c r="AA33" s="126">
        <f ca="1">IFERROR(__xludf.DUMMYFUNCTION("""COMPUTED_VALUE"""),-409538)</f>
        <v>-409538</v>
      </c>
    </row>
    <row r="34" spans="1:27" ht="13" x14ac:dyDescent="0.15">
      <c r="A34" s="91"/>
      <c r="B34" s="91"/>
      <c r="C34" s="91"/>
      <c r="D34" s="91"/>
      <c r="E34" s="133"/>
      <c r="F34" s="132"/>
      <c r="G34" s="132"/>
      <c r="H34" s="132"/>
      <c r="I34" s="132"/>
      <c r="J34" s="134" t="s">
        <v>501</v>
      </c>
      <c r="K34" s="132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</row>
    <row r="35" spans="1:27" ht="14" x14ac:dyDescent="0.15">
      <c r="A35" s="91"/>
      <c r="B35" s="91"/>
      <c r="C35" s="91"/>
      <c r="D35" s="91"/>
      <c r="E35" s="133" t="s">
        <v>502</v>
      </c>
      <c r="F35" s="132"/>
      <c r="G35" s="132"/>
      <c r="H35" s="132"/>
      <c r="I35" s="132"/>
      <c r="J35" s="134"/>
      <c r="K35" s="132"/>
      <c r="L35" s="91"/>
      <c r="M35" s="91"/>
      <c r="N35" s="91"/>
      <c r="O35" s="91"/>
      <c r="P35" s="91"/>
      <c r="Q35" s="104" t="s">
        <v>503</v>
      </c>
      <c r="R35" s="91"/>
      <c r="S35" s="91"/>
      <c r="T35" s="91"/>
      <c r="U35" s="91"/>
      <c r="V35" s="91"/>
      <c r="W35" s="91"/>
      <c r="X35" s="91"/>
      <c r="Y35" s="91"/>
      <c r="Z35" s="91"/>
      <c r="AA35" s="91"/>
    </row>
    <row r="36" spans="1:27" ht="13" x14ac:dyDescent="0.15">
      <c r="A36" s="91"/>
      <c r="B36" s="91"/>
      <c r="C36" s="91"/>
      <c r="D36" s="91"/>
      <c r="E36" s="133"/>
      <c r="F36" s="132"/>
      <c r="G36" s="132"/>
      <c r="H36" s="132"/>
      <c r="I36" s="132"/>
      <c r="J36" s="134" t="s">
        <v>504</v>
      </c>
      <c r="K36" s="132"/>
      <c r="L36" s="91"/>
      <c r="M36" s="91"/>
      <c r="N36" s="91"/>
      <c r="O36" s="91"/>
      <c r="P36" s="91"/>
      <c r="Q36" s="124">
        <f ca="1">IFERROR(__xludf.DUMMYFUNCTION("IMPORTRANGE(""https://docs.google.com/spreadsheets/d/1v6b0q46VBcXM7PzH9mOfSHNhCj1F9h5NCCQDJSDxeVU/edit?gid=952834811#gid=952834811"",""IWB Income Statements!D20:H20"")"),-1401691)</f>
        <v>-1401691</v>
      </c>
      <c r="R36" s="124">
        <f ca="1">IFERROR(__xludf.DUMMYFUNCTION("""COMPUTED_VALUE"""),-4529499)</f>
        <v>-4529499</v>
      </c>
      <c r="S36" s="124">
        <f ca="1">IFERROR(__xludf.DUMMYFUNCTION("""COMPUTED_VALUE"""),-7039704)</f>
        <v>-7039704</v>
      </c>
      <c r="T36" s="124">
        <f ca="1">IFERROR(__xludf.DUMMYFUNCTION("""COMPUTED_VALUE"""),-9287567)</f>
        <v>-9287567</v>
      </c>
      <c r="U36" s="124">
        <f ca="1">IFERROR(__xludf.DUMMYFUNCTION("""COMPUTED_VALUE"""),-6867976)</f>
        <v>-6867976</v>
      </c>
      <c r="V36" s="91"/>
      <c r="W36" s="126">
        <f ca="1">IFERROR(__xludf.DUMMYFUNCTION("IMPORTRANGE(""https://docs.google.com/spreadsheets/d/1v6b0q46VBcXM7PzH9mOfSHNhCj1F9h5NCCQDJSDxeVU/edit?gid=964636035#gid=964636035"",""MASI Income Statements!D17:H17"")"),566618)</f>
        <v>566618</v>
      </c>
      <c r="X36" s="126">
        <f ca="1">IFERROR(__xludf.DUMMYFUNCTION("""COMPUTED_VALUE"""),1019325)</f>
        <v>1019325</v>
      </c>
      <c r="Y36" s="126">
        <f ca="1">IFERROR(__xludf.DUMMYFUNCTION("""COMPUTED_VALUE"""),1405645)</f>
        <v>1405645</v>
      </c>
      <c r="Z36" s="126">
        <f ca="1">IFERROR(__xludf.DUMMYFUNCTION("""COMPUTED_VALUE"""),1570312)</f>
        <v>1570312</v>
      </c>
      <c r="AA36" s="126">
        <f ca="1">IFERROR(__xludf.DUMMYFUNCTION("""COMPUTED_VALUE"""),2940852)</f>
        <v>2940852</v>
      </c>
    </row>
    <row r="37" spans="1:27" ht="13" x14ac:dyDescent="0.15">
      <c r="A37" s="91"/>
      <c r="B37" s="91"/>
      <c r="C37" s="91"/>
      <c r="D37" s="91"/>
      <c r="E37" s="133"/>
      <c r="F37" s="132"/>
      <c r="G37" s="132"/>
      <c r="H37" s="132"/>
      <c r="I37" s="132"/>
      <c r="J37" s="134"/>
      <c r="K37" s="132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</row>
    <row r="38" spans="1:27" ht="14" x14ac:dyDescent="0.15">
      <c r="A38" s="91"/>
      <c r="B38" s="91"/>
      <c r="C38" s="91"/>
      <c r="D38" s="91"/>
      <c r="E38" s="133" t="s">
        <v>505</v>
      </c>
      <c r="F38" s="132"/>
      <c r="G38" s="132"/>
      <c r="H38" s="132"/>
      <c r="I38" s="132"/>
      <c r="J38" s="134"/>
      <c r="K38" s="132"/>
      <c r="L38" s="91"/>
      <c r="M38" s="91"/>
      <c r="N38" s="91"/>
      <c r="O38" s="91"/>
      <c r="P38" s="91"/>
      <c r="Q38" s="104" t="s">
        <v>506</v>
      </c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spans="1:27" ht="13" x14ac:dyDescent="0.15">
      <c r="A39" s="91"/>
      <c r="B39" s="91"/>
      <c r="C39" s="91"/>
      <c r="D39" s="91"/>
      <c r="E39" s="133"/>
      <c r="F39" s="132"/>
      <c r="G39" s="132"/>
      <c r="H39" s="132"/>
      <c r="I39" s="132"/>
      <c r="J39" s="134" t="s">
        <v>507</v>
      </c>
      <c r="K39" s="132"/>
      <c r="L39" s="91"/>
      <c r="M39" s="91"/>
      <c r="N39" s="91"/>
      <c r="O39" s="91"/>
      <c r="P39" s="91"/>
      <c r="Q39" s="124">
        <f ca="1">IFERROR(__xludf.DUMMYFUNCTION("IMPORTRANGE(""https://docs.google.com/spreadsheets/d/1v6b0q46VBcXM7PzH9mOfSHNhCj1F9h5NCCQDJSDxeVU/edit?gid=952834811#gid=952834811"",""IWB Income Statements!D5:H5"")"),204311431)</f>
        <v>204311431</v>
      </c>
      <c r="R39" s="124">
        <f ca="1">IFERROR(__xludf.DUMMYFUNCTION("""COMPUTED_VALUE"""),313226713)</f>
        <v>313226713</v>
      </c>
      <c r="S39" s="124">
        <f ca="1">IFERROR(__xludf.DUMMYFUNCTION("""COMPUTED_VALUE"""),390654334)</f>
        <v>390654334</v>
      </c>
      <c r="T39" s="124">
        <f ca="1">IFERROR(__xludf.DUMMYFUNCTION("""COMPUTED_VALUE"""),429127486)</f>
        <v>429127486</v>
      </c>
      <c r="U39" s="124">
        <f ca="1">IFERROR(__xludf.DUMMYFUNCTION("""COMPUTED_VALUE"""),401937029)</f>
        <v>401937029</v>
      </c>
      <c r="V39" s="91"/>
      <c r="W39" s="126">
        <f ca="1">IFERROR(__xludf.DUMMYFUNCTION("IMPORTRANGE(""https://docs.google.com/spreadsheets/d/1v6b0q46VBcXM7PzH9mOfSHNhCj1F9h5NCCQDJSDxeVU/edit?gid=964636035#gid=964636035"",""MASI Income Statements!D5:H5"")"),51682390)</f>
        <v>51682390</v>
      </c>
      <c r="X39" s="126">
        <f ca="1">IFERROR(__xludf.DUMMYFUNCTION("""COMPUTED_VALUE"""),66372422)</f>
        <v>66372422</v>
      </c>
      <c r="Y39" s="126">
        <f ca="1">IFERROR(__xludf.DUMMYFUNCTION("""COMPUTED_VALUE"""),74736807)</f>
        <v>74736807</v>
      </c>
      <c r="Z39" s="126">
        <f ca="1">IFERROR(__xludf.DUMMYFUNCTION("""COMPUTED_VALUE"""),66431396)</f>
        <v>66431396</v>
      </c>
      <c r="AA39" s="126">
        <f ca="1">IFERROR(__xludf.DUMMYFUNCTION("""COMPUTED_VALUE"""),66841283)</f>
        <v>66841283</v>
      </c>
    </row>
    <row r="40" spans="1:27" ht="13" x14ac:dyDescent="0.15">
      <c r="A40" s="91"/>
      <c r="B40" s="91"/>
      <c r="C40" s="91"/>
      <c r="D40" s="91"/>
      <c r="E40" s="133" t="s">
        <v>508</v>
      </c>
      <c r="F40" s="132"/>
      <c r="G40" s="132"/>
      <c r="H40" s="132"/>
      <c r="I40" s="132"/>
      <c r="J40" s="134"/>
      <c r="K40" s="132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</row>
    <row r="41" spans="1:27" ht="13" x14ac:dyDescent="0.15">
      <c r="A41" s="91"/>
      <c r="B41" s="91"/>
      <c r="C41" s="91"/>
      <c r="D41" s="91"/>
      <c r="E41" s="133"/>
      <c r="F41" s="132"/>
      <c r="G41" s="132"/>
      <c r="H41" s="132"/>
      <c r="I41" s="132"/>
      <c r="J41" s="134" t="s">
        <v>509</v>
      </c>
      <c r="K41" s="132"/>
      <c r="L41" s="91"/>
      <c r="M41" s="91"/>
      <c r="N41" s="91"/>
      <c r="O41" s="91"/>
      <c r="P41" s="91"/>
      <c r="Q41" s="124">
        <f t="shared" ref="Q41:U41" ca="1" si="27">SUM(Q43+Q44+Q45)</f>
        <v>0</v>
      </c>
      <c r="R41" s="124">
        <f t="shared" ca="1" si="27"/>
        <v>0</v>
      </c>
      <c r="S41" s="124">
        <f t="shared" ca="1" si="27"/>
        <v>0</v>
      </c>
      <c r="T41" s="124">
        <f t="shared" ca="1" si="27"/>
        <v>0</v>
      </c>
      <c r="U41" s="124">
        <f t="shared" ca="1" si="27"/>
        <v>0</v>
      </c>
      <c r="V41" s="91"/>
      <c r="W41" s="91"/>
      <c r="X41" s="91"/>
      <c r="Y41" s="91"/>
      <c r="Z41" s="91"/>
      <c r="AA41" s="91"/>
    </row>
    <row r="42" spans="1:27" ht="14" x14ac:dyDescent="0.15">
      <c r="A42" s="91"/>
      <c r="B42" s="91"/>
      <c r="C42" s="91"/>
      <c r="D42" s="91"/>
      <c r="E42" s="133"/>
      <c r="F42" s="132"/>
      <c r="G42" s="132"/>
      <c r="H42" s="132"/>
      <c r="I42" s="132"/>
      <c r="J42" s="134"/>
      <c r="K42" s="132"/>
      <c r="L42" s="91"/>
      <c r="M42" s="91"/>
      <c r="N42" s="91"/>
      <c r="O42" s="91"/>
      <c r="P42" s="91"/>
      <c r="Q42" s="104" t="s">
        <v>510</v>
      </c>
      <c r="R42" s="91"/>
      <c r="S42" s="91"/>
      <c r="T42" s="91"/>
      <c r="U42" s="91"/>
      <c r="V42" s="91"/>
      <c r="W42" s="126">
        <f ca="1">IFERROR(__xludf.DUMMYFUNCTION("IMPORTRANGE(""https://docs.google.com/spreadsheets/d/1v6b0q46VBcXM7PzH9mOfSHNhCj1F9h5NCCQDJSDxeVU/edit?gid=964636035#gid=964636035"",""MASI Income Statements!D6:H6"")"),18529846)</f>
        <v>18529846</v>
      </c>
      <c r="X42" s="126">
        <f ca="1">IFERROR(__xludf.DUMMYFUNCTION("""COMPUTED_VALUE"""),24685051)</f>
        <v>24685051</v>
      </c>
      <c r="Y42" s="126">
        <f ca="1">IFERROR(__xludf.DUMMYFUNCTION("""COMPUTED_VALUE"""),29756512)</f>
        <v>29756512</v>
      </c>
      <c r="Z42" s="126">
        <f ca="1">IFERROR(__xludf.DUMMYFUNCTION("""COMPUTED_VALUE"""),26341968)</f>
        <v>26341968</v>
      </c>
      <c r="AA42" s="126">
        <f ca="1">IFERROR(__xludf.DUMMYFUNCTION("""COMPUTED_VALUE"""),26665218)</f>
        <v>26665218</v>
      </c>
    </row>
    <row r="43" spans="1:27" ht="18" customHeight="1" x14ac:dyDescent="0.15">
      <c r="A43" s="91"/>
      <c r="B43" s="91"/>
      <c r="C43" s="91"/>
      <c r="D43" s="91"/>
      <c r="E43" s="133" t="s">
        <v>511</v>
      </c>
      <c r="F43" s="132"/>
      <c r="G43" s="132"/>
      <c r="H43" s="132"/>
      <c r="I43" s="132"/>
      <c r="J43" s="134" t="s">
        <v>512</v>
      </c>
      <c r="K43" s="132"/>
      <c r="L43" s="91"/>
      <c r="M43" s="91"/>
      <c r="N43" s="91"/>
      <c r="O43" s="91"/>
      <c r="P43" s="91"/>
      <c r="Q43" s="124"/>
      <c r="R43" s="124"/>
      <c r="S43" s="124"/>
      <c r="T43" s="124"/>
      <c r="U43" s="124"/>
      <c r="V43" s="91"/>
      <c r="W43" s="91"/>
      <c r="X43" s="91"/>
      <c r="Y43" s="91"/>
      <c r="Z43" s="91"/>
      <c r="AA43" s="91"/>
    </row>
    <row r="44" spans="1:27" ht="13" x14ac:dyDescent="0.15">
      <c r="A44" s="91"/>
      <c r="B44" s="91"/>
      <c r="C44" s="91"/>
      <c r="D44" s="91"/>
      <c r="E44" s="133"/>
      <c r="F44" s="132"/>
      <c r="G44" s="132"/>
      <c r="H44" s="132"/>
      <c r="I44" s="132"/>
      <c r="J44" s="134"/>
      <c r="K44" s="132"/>
      <c r="L44" s="91"/>
      <c r="M44" s="91"/>
      <c r="N44" s="91"/>
      <c r="O44" s="91"/>
      <c r="P44" s="91"/>
      <c r="Q44" s="124">
        <f ca="1">IFERROR(__xludf.DUMMYFUNCTION("IMPORTRANGE(""https://docs.google.com/spreadsheets/d/1v6b0q46VBcXM7PzH9mOfSHNhCj1F9h5NCCQDJSDxeVU/edit?gid=952834811#gid=952834811"",""IWB Income Statements!D9:H9"")"),-123650253)</f>
        <v>-123650253</v>
      </c>
      <c r="R44" s="124">
        <f ca="1">IFERROR(__xludf.DUMMYFUNCTION("""COMPUTED_VALUE"""),-217704762)</f>
        <v>-217704762</v>
      </c>
      <c r="S44" s="124">
        <f ca="1">IFERROR(__xludf.DUMMYFUNCTION("""COMPUTED_VALUE"""),-271789668)</f>
        <v>-271789668</v>
      </c>
      <c r="T44" s="124">
        <f ca="1">IFERROR(__xludf.DUMMYFUNCTION("""COMPUTED_VALUE"""),-271847220)</f>
        <v>-271847220</v>
      </c>
      <c r="U44" s="124">
        <f ca="1">IFERROR(__xludf.DUMMYFUNCTION("""COMPUTED_VALUE"""),-248332447)</f>
        <v>-248332447</v>
      </c>
      <c r="V44" s="91"/>
      <c r="W44" s="91"/>
      <c r="X44" s="91"/>
      <c r="Y44" s="91"/>
      <c r="Z44" s="91"/>
      <c r="AA44" s="91"/>
    </row>
    <row r="45" spans="1:27" ht="13" x14ac:dyDescent="0.15">
      <c r="A45" s="91"/>
      <c r="B45" s="91"/>
      <c r="C45" s="91"/>
      <c r="D45" s="91"/>
      <c r="E45" s="133" t="s">
        <v>513</v>
      </c>
      <c r="F45" s="132"/>
      <c r="G45" s="132"/>
      <c r="H45" s="132"/>
      <c r="I45" s="132"/>
      <c r="J45" s="134"/>
      <c r="K45" s="132"/>
      <c r="L45" s="91"/>
      <c r="M45" s="91"/>
      <c r="N45" s="91"/>
      <c r="O45" s="91"/>
      <c r="P45" s="91"/>
      <c r="Q45" s="124">
        <f t="shared" ref="Q45:U45" ca="1" si="28">Q44*-1</f>
        <v>123650253</v>
      </c>
      <c r="R45" s="124">
        <f t="shared" ca="1" si="28"/>
        <v>217704762</v>
      </c>
      <c r="S45" s="124">
        <f t="shared" ca="1" si="28"/>
        <v>271789668</v>
      </c>
      <c r="T45" s="124">
        <f t="shared" ca="1" si="28"/>
        <v>271847220</v>
      </c>
      <c r="U45" s="124">
        <f t="shared" ca="1" si="28"/>
        <v>248332447</v>
      </c>
      <c r="V45" s="91"/>
      <c r="W45" s="91"/>
      <c r="X45" s="91"/>
      <c r="Y45" s="91"/>
      <c r="Z45" s="91"/>
      <c r="AA45" s="91"/>
    </row>
    <row r="46" spans="1:27" ht="13" x14ac:dyDescent="0.15">
      <c r="A46" s="91"/>
      <c r="B46" s="91"/>
      <c r="C46" s="91"/>
      <c r="D46" s="91"/>
      <c r="E46" s="132"/>
      <c r="F46" s="132"/>
      <c r="G46" s="132"/>
      <c r="H46" s="132"/>
      <c r="I46" s="132"/>
      <c r="J46" s="134" t="s">
        <v>514</v>
      </c>
      <c r="K46" s="132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</row>
    <row r="47" spans="1:27" ht="14" x14ac:dyDescent="0.15">
      <c r="A47" s="91"/>
      <c r="B47" s="91"/>
      <c r="C47" s="91"/>
      <c r="D47" s="91"/>
      <c r="E47" s="132"/>
      <c r="F47" s="132"/>
      <c r="G47" s="132"/>
      <c r="H47" s="132"/>
      <c r="I47" s="132"/>
      <c r="J47" s="134"/>
      <c r="K47" s="132"/>
      <c r="L47" s="91"/>
      <c r="M47" s="91"/>
      <c r="N47" s="91"/>
      <c r="O47" s="91"/>
      <c r="P47" s="91"/>
      <c r="Q47" s="104" t="s">
        <v>515</v>
      </c>
      <c r="R47" s="91"/>
      <c r="S47" s="91"/>
      <c r="T47" s="91"/>
      <c r="U47" s="91"/>
      <c r="V47" s="91"/>
      <c r="W47" s="91"/>
      <c r="X47" s="91"/>
      <c r="Y47" s="91"/>
      <c r="Z47" s="91"/>
      <c r="AA47" s="91"/>
    </row>
    <row r="48" spans="1:27" ht="13" x14ac:dyDescent="0.15">
      <c r="A48" s="91"/>
      <c r="B48" s="91"/>
      <c r="C48" s="91"/>
      <c r="D48" s="91"/>
      <c r="E48" s="133" t="s">
        <v>516</v>
      </c>
      <c r="F48" s="132"/>
      <c r="G48" s="132"/>
      <c r="H48" s="132"/>
      <c r="I48" s="132"/>
      <c r="J48" s="134" t="s">
        <v>517</v>
      </c>
      <c r="K48" s="132"/>
      <c r="L48" s="91"/>
      <c r="M48" s="91"/>
      <c r="N48" s="91"/>
      <c r="O48" s="91"/>
      <c r="P48" s="91"/>
      <c r="Q48" s="124">
        <f ca="1">IFERROR(__xludf.DUMMYFUNCTION("IMPORTRANGE(""https://docs.google.com/spreadsheets/d/1v6b0q46VBcXM7PzH9mOfSHNhCj1F9h5NCCQDJSDxeVU/edit?gid=891716307#gid=891716307"",""IWB Balance Sheet!D49:H49"")"),10076307)</f>
        <v>10076307</v>
      </c>
      <c r="R48" s="124">
        <f ca="1">IFERROR(__xludf.DUMMYFUNCTION("""COMPUTED_VALUE"""),32467349)</f>
        <v>32467349</v>
      </c>
      <c r="S48" s="124">
        <f ca="1">IFERROR(__xludf.DUMMYFUNCTION("""COMPUTED_VALUE"""),38827981)</f>
        <v>38827981</v>
      </c>
      <c r="T48" s="124">
        <f ca="1">IFERROR(__xludf.DUMMYFUNCTION("""COMPUTED_VALUE"""),28805836)</f>
        <v>28805836</v>
      </c>
      <c r="U48" s="124">
        <f ca="1">IFERROR(__xludf.DUMMYFUNCTION("""COMPUTED_VALUE"""),2450424)</f>
        <v>2450424</v>
      </c>
      <c r="V48" s="91"/>
      <c r="W48" s="126">
        <f ca="1">IFERROR(__xludf.DUMMYFUNCTION("IMPORTRANGE(""https://docs.google.com/spreadsheets/d/1v6b0q46VBcXM7PzH9mOfSHNhCj1F9h5NCCQDJSDxeVU/edit?gid=1290911229#gid=1290911229"",""MASI Balance Sheet!D45:H45"")"),4127735)</f>
        <v>4127735</v>
      </c>
      <c r="X48" s="126">
        <f ca="1">IFERROR(__xludf.DUMMYFUNCTION("""COMPUTED_VALUE"""),6173900)</f>
        <v>6173900</v>
      </c>
      <c r="Y48" s="126">
        <f ca="1">IFERROR(__xludf.DUMMYFUNCTION("""COMPUTED_VALUE"""),7706359)</f>
        <v>7706359</v>
      </c>
      <c r="Z48" s="126">
        <f ca="1">IFERROR(__xludf.DUMMYFUNCTION("""COMPUTED_VALUE"""),15994003)</f>
        <v>15994003</v>
      </c>
      <c r="AA48" s="126">
        <f ca="1">IFERROR(__xludf.DUMMYFUNCTION("""COMPUTED_VALUE"""),23921708)</f>
        <v>23921708</v>
      </c>
    </row>
    <row r="49" spans="1:27" ht="13" x14ac:dyDescent="0.15">
      <c r="A49" s="91"/>
      <c r="B49" s="91"/>
      <c r="C49" s="91"/>
      <c r="D49" s="91"/>
      <c r="E49" s="133"/>
      <c r="F49" s="132"/>
      <c r="G49" s="132"/>
      <c r="H49" s="132"/>
      <c r="I49" s="132"/>
      <c r="J49" s="134"/>
      <c r="K49" s="132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</row>
    <row r="50" spans="1:27" ht="13" x14ac:dyDescent="0.15">
      <c r="A50" s="91"/>
      <c r="B50" s="91"/>
      <c r="C50" s="91"/>
      <c r="D50" s="91"/>
      <c r="E50" s="133" t="s">
        <v>518</v>
      </c>
      <c r="F50" s="132"/>
      <c r="G50" s="132"/>
      <c r="H50" s="132"/>
      <c r="I50" s="132"/>
      <c r="J50" s="134"/>
      <c r="K50" s="132"/>
      <c r="L50" s="91"/>
      <c r="M50" s="91"/>
      <c r="N50" s="91"/>
      <c r="O50" s="91"/>
      <c r="P50" s="91"/>
      <c r="Q50" s="91" t="s">
        <v>519</v>
      </c>
      <c r="R50" s="91"/>
      <c r="S50" s="91"/>
      <c r="T50" s="91"/>
      <c r="U50" s="91"/>
      <c r="V50" s="91"/>
      <c r="W50" s="91"/>
      <c r="X50" s="91"/>
      <c r="Y50" s="91"/>
      <c r="Z50" s="91"/>
      <c r="AA50" s="91"/>
    </row>
    <row r="51" spans="1:27" ht="13" x14ac:dyDescent="0.15">
      <c r="A51" s="91"/>
      <c r="B51" s="91"/>
      <c r="C51" s="91"/>
      <c r="D51" s="91"/>
      <c r="E51" s="133"/>
      <c r="F51" s="132"/>
      <c r="G51" s="132"/>
      <c r="H51" s="132"/>
      <c r="I51" s="132"/>
      <c r="J51" s="134" t="s">
        <v>520</v>
      </c>
      <c r="K51" s="132"/>
      <c r="L51" s="91"/>
      <c r="M51" s="91"/>
      <c r="N51" s="91"/>
      <c r="O51" s="91"/>
      <c r="P51" s="91"/>
      <c r="Q51" s="124">
        <f ca="1">IFERROR(__xludf.DUMMYFUNCTION("IMPORTRANGE(""https://docs.google.com/spreadsheets/d/1v6b0q46VBcXM7PzH9mOfSHNhCj1F9h5NCCQDJSDxeVU/edit?gid=891716307#gid=891716307"",""IWB Balance Sheet!D50:H50"")"),1088147)</f>
        <v>1088147</v>
      </c>
      <c r="R51" s="124">
        <f ca="1">IFERROR(__xludf.DUMMYFUNCTION("""COMPUTED_VALUE"""),2388122)</f>
        <v>2388122</v>
      </c>
      <c r="S51" s="124">
        <f ca="1">IFERROR(__xludf.DUMMYFUNCTION("""COMPUTED_VALUE"""),3089661)</f>
        <v>3089661</v>
      </c>
      <c r="T51" s="124">
        <f ca="1">IFERROR(__xludf.DUMMYFUNCTION("""COMPUTED_VALUE"""),3106456)</f>
        <v>3106456</v>
      </c>
      <c r="U51" s="124">
        <f ca="1">IFERROR(__xludf.DUMMYFUNCTION("""COMPUTED_VALUE"""),3316648)</f>
        <v>3316648</v>
      </c>
      <c r="V51" s="91"/>
      <c r="W51" s="126">
        <f ca="1">IFERROR(__xludf.DUMMYFUNCTION("IMPORTRANGE(""https://docs.google.com/spreadsheets/d/1v6b0q46VBcXM7PzH9mOfSHNhCj1F9h5NCCQDJSDxeVU/edit?gid=1290911229#gid=1290911229"",""MASI Balance Sheet!D46:H46"")"),1001484)</f>
        <v>1001484</v>
      </c>
      <c r="X51" s="126">
        <f ca="1">IFERROR(__xludf.DUMMYFUNCTION("""COMPUTED_VALUE"""),941492)</f>
        <v>941492</v>
      </c>
      <c r="Y51" s="126">
        <f ca="1">IFERROR(__xludf.DUMMYFUNCTION("""COMPUTED_VALUE"""),1046473)</f>
        <v>1046473</v>
      </c>
      <c r="Z51" s="126">
        <f ca="1">IFERROR(__xludf.DUMMYFUNCTION("""COMPUTED_VALUE"""),939417)</f>
        <v>939417</v>
      </c>
      <c r="AA51" s="126">
        <f ca="1">IFERROR(__xludf.DUMMYFUNCTION("""COMPUTED_VALUE"""),1130766)</f>
        <v>1130766</v>
      </c>
    </row>
    <row r="52" spans="1:27" ht="13" x14ac:dyDescent="0.15">
      <c r="A52" s="91"/>
      <c r="B52" s="91"/>
      <c r="C52" s="91"/>
      <c r="D52" s="91"/>
      <c r="E52" s="133"/>
      <c r="F52" s="132"/>
      <c r="G52" s="132"/>
      <c r="H52" s="132"/>
      <c r="I52" s="132"/>
      <c r="J52" s="134"/>
      <c r="K52" s="132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</row>
    <row r="53" spans="1:27" ht="13" x14ac:dyDescent="0.15">
      <c r="A53" s="91"/>
      <c r="B53" s="91"/>
      <c r="C53" s="91"/>
      <c r="D53" s="91"/>
      <c r="E53" s="133" t="s">
        <v>521</v>
      </c>
      <c r="F53" s="132"/>
      <c r="G53" s="132"/>
      <c r="H53" s="132"/>
      <c r="I53" s="132"/>
      <c r="J53" s="134" t="s">
        <v>522</v>
      </c>
      <c r="K53" s="132"/>
      <c r="L53" s="91"/>
      <c r="M53" s="91"/>
      <c r="N53" s="91"/>
      <c r="O53" s="91"/>
      <c r="P53" s="91"/>
      <c r="Q53" s="91" t="s">
        <v>523</v>
      </c>
      <c r="R53" s="91"/>
      <c r="S53" s="91"/>
      <c r="T53" s="91"/>
      <c r="U53" s="91"/>
      <c r="V53" s="91"/>
      <c r="W53" s="91"/>
      <c r="X53" s="91"/>
      <c r="Y53" s="91"/>
      <c r="Z53" s="91"/>
      <c r="AA53" s="91"/>
    </row>
    <row r="54" spans="1:27" ht="13" x14ac:dyDescent="0.15">
      <c r="A54" s="91"/>
      <c r="B54" s="91"/>
      <c r="C54" s="91"/>
      <c r="D54" s="91"/>
      <c r="E54" s="133"/>
      <c r="F54" s="132"/>
      <c r="G54" s="132"/>
      <c r="H54" s="132"/>
      <c r="I54" s="132"/>
      <c r="J54" s="134"/>
      <c r="K54" s="132"/>
      <c r="L54" s="91"/>
      <c r="M54" s="91"/>
      <c r="N54" s="91"/>
      <c r="O54" s="91"/>
      <c r="P54" s="91"/>
      <c r="Q54" s="124">
        <f ca="1">IFERROR(__xludf.DUMMYFUNCTION("IMPORTRANGE(""https://docs.google.com/spreadsheets/d/1v6b0q46VBcXM7PzH9mOfSHNhCj1F9h5NCCQDJSDxeVU/edit?gid=891716307#gid=891716307"",""IWB Balance Sheet!D51:H51"")"),56808562)</f>
        <v>56808562</v>
      </c>
      <c r="R54" s="124">
        <f ca="1">IFERROR(__xludf.DUMMYFUNCTION("""COMPUTED_VALUE"""),137367109)</f>
        <v>137367109</v>
      </c>
      <c r="S54" s="124">
        <f ca="1">IFERROR(__xludf.DUMMYFUNCTION("""COMPUTED_VALUE"""),136717241)</f>
        <v>136717241</v>
      </c>
      <c r="T54" s="124">
        <f ca="1">IFERROR(__xludf.DUMMYFUNCTION("""COMPUTED_VALUE"""),113789742)</f>
        <v>113789742</v>
      </c>
      <c r="U54" s="124">
        <f ca="1">IFERROR(__xludf.DUMMYFUNCTION("""COMPUTED_VALUE"""),94697725)</f>
        <v>94697725</v>
      </c>
      <c r="V54" s="91"/>
      <c r="W54" s="126">
        <f ca="1">IFERROR(__xludf.DUMMYFUNCTION("IMPORTRANGE(""https://docs.google.com/spreadsheets/d/1v6b0q46VBcXM7PzH9mOfSHNhCj1F9h5NCCQDJSDxeVU/edit?gid=1290911229#gid=1290911229"",""MASI Balance Sheet!D47:H47"")"),9459863)</f>
        <v>9459863</v>
      </c>
      <c r="X54" s="126">
        <f ca="1">IFERROR(__xludf.DUMMYFUNCTION("""COMPUTED_VALUE"""),13903111)</f>
        <v>13903111</v>
      </c>
      <c r="Y54" s="126">
        <f ca="1">IFERROR(__xludf.DUMMYFUNCTION("""COMPUTED_VALUE"""),12680744)</f>
        <v>12680744</v>
      </c>
      <c r="Z54" s="126">
        <f ca="1">IFERROR(__xludf.DUMMYFUNCTION("""COMPUTED_VALUE"""),13042395)</f>
        <v>13042395</v>
      </c>
      <c r="AA54" s="126">
        <f ca="1">IFERROR(__xludf.DUMMYFUNCTION("""COMPUTED_VALUE"""),12923973)</f>
        <v>12923973</v>
      </c>
    </row>
    <row r="55" spans="1:27" ht="13" x14ac:dyDescent="0.15">
      <c r="A55" s="91"/>
      <c r="B55" s="91"/>
      <c r="C55" s="91"/>
      <c r="D55" s="91"/>
      <c r="E55" s="133" t="s">
        <v>524</v>
      </c>
      <c r="F55" s="132"/>
      <c r="G55" s="132"/>
      <c r="H55" s="132"/>
      <c r="I55" s="132"/>
      <c r="J55" s="134" t="s">
        <v>525</v>
      </c>
      <c r="K55" s="132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</row>
    <row r="56" spans="1:27" ht="13" x14ac:dyDescent="0.15">
      <c r="A56" s="91"/>
      <c r="B56" s="91"/>
      <c r="C56" s="91"/>
      <c r="D56" s="91"/>
      <c r="E56" s="133"/>
      <c r="F56" s="132"/>
      <c r="G56" s="132"/>
      <c r="H56" s="132"/>
      <c r="I56" s="132"/>
      <c r="J56" s="134"/>
      <c r="K56" s="132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</row>
    <row r="57" spans="1:27" ht="13" x14ac:dyDescent="0.15">
      <c r="A57" s="91"/>
      <c r="B57" s="91"/>
      <c r="C57" s="91"/>
      <c r="D57" s="91"/>
      <c r="E57" s="133"/>
      <c r="F57" s="132"/>
      <c r="G57" s="132"/>
      <c r="H57" s="132"/>
      <c r="I57" s="132"/>
      <c r="J57" s="134"/>
      <c r="K57" s="132"/>
      <c r="L57" s="91"/>
      <c r="M57" s="91"/>
      <c r="N57" s="91"/>
      <c r="O57" s="91"/>
      <c r="P57" s="91"/>
      <c r="Q57" s="91" t="s">
        <v>526</v>
      </c>
      <c r="R57" s="91"/>
      <c r="S57" s="91"/>
      <c r="T57" s="91"/>
      <c r="U57" s="91"/>
      <c r="V57" s="91"/>
      <c r="W57" s="91"/>
      <c r="X57" s="91"/>
      <c r="Y57" s="91"/>
      <c r="Z57" s="91"/>
      <c r="AA57" s="91"/>
    </row>
    <row r="58" spans="1:27" ht="13" x14ac:dyDescent="0.15">
      <c r="A58" s="91"/>
      <c r="B58" s="91"/>
      <c r="C58" s="91"/>
      <c r="D58" s="91"/>
      <c r="E58" s="133" t="s">
        <v>527</v>
      </c>
      <c r="F58" s="132"/>
      <c r="G58" s="132"/>
      <c r="H58" s="132"/>
      <c r="I58" s="132"/>
      <c r="J58" s="134"/>
      <c r="K58" s="132"/>
      <c r="L58" s="91"/>
      <c r="M58" s="91"/>
      <c r="N58" s="91"/>
      <c r="O58" s="91"/>
      <c r="P58" s="91"/>
      <c r="Q58" s="124">
        <f ca="1">IFERROR(__xludf.DUMMYFUNCTION("IMPORTRANGE(""https://docs.google.com/spreadsheets/d/1v6b0q46VBcXM7PzH9mOfSHNhCj1F9h5NCCQDJSDxeVU/edit?gid=891716307#gid=891716307"",""IWB Balance Sheet!D41:H41"")"),23806909)</f>
        <v>23806909</v>
      </c>
      <c r="R58" s="124">
        <f ca="1">IFERROR(__xludf.DUMMYFUNCTION("""COMPUTED_VALUE"""),135725740)</f>
        <v>135725740</v>
      </c>
      <c r="S58" s="124">
        <f ca="1">IFERROR(__xludf.DUMMYFUNCTION("""COMPUTED_VALUE"""),152393087)</f>
        <v>152393087</v>
      </c>
      <c r="T58" s="124">
        <f ca="1">IFERROR(__xludf.DUMMYFUNCTION("""COMPUTED_VALUE"""),143336515)</f>
        <v>143336515</v>
      </c>
      <c r="U58" s="124">
        <f ca="1">IFERROR(__xludf.DUMMYFUNCTION("""COMPUTED_VALUE"""),133529737)</f>
        <v>133529737</v>
      </c>
      <c r="V58" s="91"/>
      <c r="W58" s="126">
        <f ca="1">IFERROR(__xludf.DUMMYFUNCTION("IMPORTRANGE(""https://docs.google.com/spreadsheets/d/1v6b0q46VBcXM7PzH9mOfSHNhCj1F9h5NCCQDJSDxeVU/edit?gid=1290911229#gid=1290911229"",""MASI Balance Sheet!D37:H37"")"),22830070)</f>
        <v>22830070</v>
      </c>
      <c r="X58" s="126">
        <f ca="1">IFERROR(__xludf.DUMMYFUNCTION("""COMPUTED_VALUE"""),30011689)</f>
        <v>30011689</v>
      </c>
      <c r="Y58" s="126">
        <f ca="1">IFERROR(__xludf.DUMMYFUNCTION("""COMPUTED_VALUE"""),36280337)</f>
        <v>36280337</v>
      </c>
      <c r="Z58" s="126">
        <f ca="1">IFERROR(__xludf.DUMMYFUNCTION("""COMPUTED_VALUE"""),29524013)</f>
        <v>29524013</v>
      </c>
      <c r="AA58" s="126">
        <f ca="1">IFERROR(__xludf.DUMMYFUNCTION("""COMPUTED_VALUE"""),19119502)</f>
        <v>19119502</v>
      </c>
    </row>
    <row r="59" spans="1:27" ht="13" x14ac:dyDescent="0.15">
      <c r="A59" s="91"/>
      <c r="B59" s="91"/>
      <c r="C59" s="91"/>
      <c r="D59" s="91"/>
      <c r="E59" s="133"/>
      <c r="F59" s="132"/>
      <c r="G59" s="132"/>
      <c r="H59" s="132"/>
      <c r="I59" s="132"/>
      <c r="J59" s="134"/>
      <c r="K59" s="132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</row>
    <row r="60" spans="1:27" ht="13" x14ac:dyDescent="0.15">
      <c r="A60" s="91"/>
      <c r="B60" s="91"/>
      <c r="C60" s="91"/>
      <c r="D60" s="91"/>
      <c r="E60" s="133" t="s">
        <v>528</v>
      </c>
      <c r="F60" s="132"/>
      <c r="G60" s="132"/>
      <c r="H60" s="132"/>
      <c r="I60" s="132"/>
      <c r="J60" s="134" t="s">
        <v>529</v>
      </c>
      <c r="K60" s="132"/>
      <c r="L60" s="91"/>
      <c r="M60" s="91"/>
      <c r="N60" s="91"/>
      <c r="O60" s="91"/>
      <c r="P60" s="91"/>
      <c r="Q60" s="91" t="s">
        <v>519</v>
      </c>
      <c r="R60" s="91"/>
      <c r="S60" s="91"/>
      <c r="T60" s="91"/>
      <c r="U60" s="91"/>
      <c r="V60" s="91"/>
      <c r="W60" s="91"/>
      <c r="X60" s="91"/>
      <c r="Y60" s="91"/>
      <c r="Z60" s="91"/>
      <c r="AA60" s="91"/>
    </row>
    <row r="61" spans="1:27" ht="13" x14ac:dyDescent="0.15">
      <c r="A61" s="91"/>
      <c r="B61" s="91"/>
      <c r="C61" s="91"/>
      <c r="D61" s="91"/>
      <c r="E61" s="132"/>
      <c r="F61" s="132"/>
      <c r="G61" s="132"/>
      <c r="H61" s="132"/>
      <c r="I61" s="132"/>
      <c r="J61" s="134"/>
      <c r="K61" s="132"/>
      <c r="L61" s="91"/>
      <c r="M61" s="91"/>
      <c r="N61" s="91"/>
      <c r="O61" s="91"/>
      <c r="P61" s="91"/>
      <c r="Q61" s="124">
        <f ca="1">IFERROR(__xludf.DUMMYFUNCTION("IMPORTRANGE(""https://docs.google.com/spreadsheets/d/1v6b0q46VBcXM7PzH9mOfSHNhCj1F9h5NCCQDJSDxeVU/edit?gid=891716307#gid=891716307"",""IWB Balance Sheet!D42:H42"")"),8821241)</f>
        <v>8821241</v>
      </c>
      <c r="R61" s="124">
        <f ca="1">IFERROR(__xludf.DUMMYFUNCTION("""COMPUTED_VALUE"""),10891065)</f>
        <v>10891065</v>
      </c>
      <c r="S61" s="124">
        <f ca="1">IFERROR(__xludf.DUMMYFUNCTION("""COMPUTED_VALUE"""),13959419)</f>
        <v>13959419</v>
      </c>
      <c r="T61" s="124">
        <f ca="1">IFERROR(__xludf.DUMMYFUNCTION("""COMPUTED_VALUE"""),12107779)</f>
        <v>12107779</v>
      </c>
      <c r="U61" s="124">
        <f ca="1">IFERROR(__xludf.DUMMYFUNCTION("""COMPUTED_VALUE"""),10048538)</f>
        <v>10048538</v>
      </c>
      <c r="V61" s="91"/>
      <c r="W61" s="126">
        <f ca="1">IFERROR(__xludf.DUMMYFUNCTION("IMPORTRANGE(""https://docs.google.com/spreadsheets/d/1v6b0q46VBcXM7PzH9mOfSHNhCj1F9h5NCCQDJSDxeVU/edit?gid=1290911229#gid=1290911229"",""MASI Balance Sheet!D38:H38"")"),9543689)</f>
        <v>9543689</v>
      </c>
      <c r="X61" s="126">
        <f ca="1">IFERROR(__xludf.DUMMYFUNCTION("""COMPUTED_VALUE"""),8735467)</f>
        <v>8735467</v>
      </c>
      <c r="Y61" s="126">
        <f ca="1">IFERROR(__xludf.DUMMYFUNCTION("""COMPUTED_VALUE"""),8305021)</f>
        <v>8305021</v>
      </c>
      <c r="Z61" s="126">
        <f ca="1">IFERROR(__xludf.DUMMYFUNCTION("""COMPUTED_VALUE"""),7654144)</f>
        <v>7654144</v>
      </c>
      <c r="AA61" s="126">
        <f ca="1">IFERROR(__xludf.DUMMYFUNCTION("""COMPUTED_VALUE"""),7739233)</f>
        <v>7739233</v>
      </c>
    </row>
    <row r="62" spans="1:27" ht="13" x14ac:dyDescent="0.15">
      <c r="A62" s="91"/>
      <c r="B62" s="91"/>
      <c r="C62" s="91"/>
      <c r="D62" s="91"/>
      <c r="E62" s="132"/>
      <c r="F62" s="132"/>
      <c r="G62" s="132"/>
      <c r="H62" s="132"/>
      <c r="I62" s="132"/>
      <c r="J62" s="134" t="s">
        <v>530</v>
      </c>
      <c r="K62" s="132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</row>
    <row r="63" spans="1:27" ht="14" x14ac:dyDescent="0.15">
      <c r="A63" s="91"/>
      <c r="B63" s="91"/>
      <c r="C63" s="91"/>
      <c r="D63" s="91"/>
      <c r="E63" s="132"/>
      <c r="F63" s="132"/>
      <c r="G63" s="132"/>
      <c r="H63" s="132"/>
      <c r="I63" s="132"/>
      <c r="J63" s="134"/>
      <c r="K63" s="132"/>
      <c r="L63" s="91"/>
      <c r="M63" s="91"/>
      <c r="N63" s="91"/>
      <c r="O63" s="91"/>
      <c r="P63" s="91"/>
      <c r="Q63" s="104" t="s">
        <v>58</v>
      </c>
      <c r="R63" s="91"/>
      <c r="S63" s="91"/>
      <c r="T63" s="91"/>
      <c r="U63" s="91"/>
      <c r="V63" s="91"/>
      <c r="W63" s="91"/>
      <c r="X63" s="91"/>
      <c r="Y63" s="91"/>
      <c r="Z63" s="91"/>
      <c r="AA63" s="91"/>
    </row>
    <row r="64" spans="1:27" ht="14" x14ac:dyDescent="0.15">
      <c r="A64" s="91"/>
      <c r="B64" s="91"/>
      <c r="C64" s="91"/>
      <c r="D64" s="91"/>
      <c r="E64" s="132"/>
      <c r="F64" s="132"/>
      <c r="G64" s="132"/>
      <c r="H64" s="132"/>
      <c r="I64" s="132"/>
      <c r="J64" s="134" t="s">
        <v>531</v>
      </c>
      <c r="K64" s="132"/>
      <c r="L64" s="91"/>
      <c r="M64" s="91"/>
      <c r="N64" s="91"/>
      <c r="O64" s="91"/>
      <c r="P64" s="91"/>
      <c r="Q64" s="135">
        <v>222140508</v>
      </c>
      <c r="R64" s="135">
        <v>501146584</v>
      </c>
      <c r="S64" s="135">
        <v>561316894</v>
      </c>
      <c r="T64" s="135">
        <v>537056473</v>
      </c>
      <c r="U64" s="135">
        <v>489865223</v>
      </c>
      <c r="V64" s="91"/>
      <c r="W64" s="126">
        <f ca="1">IFERROR(__xludf.DUMMYFUNCTION("IMPORTRANGE(""https://docs.google.com/spreadsheets/d/1v6b0q46VBcXM7PzH9mOfSHNhCj1F9h5NCCQDJSDxeVU/edit?gid=1290911229#gid=1290911229"",""MASI Balance Sheet!D33:H33"")"),124205722)</f>
        <v>124205722</v>
      </c>
      <c r="X64" s="126">
        <f ca="1">IFERROR(__xludf.DUMMYFUNCTION("""COMPUTED_VALUE"""),130959532)</f>
        <v>130959532</v>
      </c>
      <c r="Y64" s="126">
        <f ca="1">IFERROR(__xludf.DUMMYFUNCTION("""COMPUTED_VALUE"""),134345428)</f>
        <v>134345428</v>
      </c>
      <c r="Z64" s="126">
        <f ca="1">IFERROR(__xludf.DUMMYFUNCTION("""COMPUTED_VALUE"""),130667179)</f>
        <v>130667179</v>
      </c>
      <c r="AA64" s="126">
        <f ca="1">IFERROR(__xludf.DUMMYFUNCTION("""COMPUTED_VALUE"""),131049187)</f>
        <v>131049187</v>
      </c>
    </row>
    <row r="65" spans="1:27" ht="23" x14ac:dyDescent="0.25">
      <c r="A65" s="91"/>
      <c r="B65" s="91"/>
      <c r="C65" s="91"/>
      <c r="D65" s="91"/>
      <c r="E65" s="91"/>
      <c r="F65" s="91"/>
      <c r="G65" s="91"/>
      <c r="H65" s="91"/>
      <c r="I65" s="91"/>
      <c r="J65" s="136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</row>
    <row r="66" spans="1:27" ht="14" x14ac:dyDescent="0.15">
      <c r="A66" s="91"/>
      <c r="B66" s="91"/>
      <c r="C66" s="91"/>
      <c r="D66" s="91"/>
      <c r="E66" s="91"/>
      <c r="F66" s="91"/>
      <c r="G66" s="91"/>
      <c r="H66" s="91"/>
      <c r="I66" s="91"/>
      <c r="J66" s="2"/>
      <c r="K66" s="91"/>
      <c r="L66" s="91"/>
      <c r="M66" s="91"/>
      <c r="N66" s="91"/>
      <c r="O66" s="91"/>
      <c r="P66" s="91"/>
      <c r="Q66" s="104" t="s">
        <v>50</v>
      </c>
      <c r="R66" s="91"/>
      <c r="S66" s="91"/>
      <c r="T66" s="91"/>
      <c r="U66" s="91"/>
      <c r="V66" s="91"/>
      <c r="W66" s="91"/>
      <c r="X66" s="91"/>
      <c r="Y66" s="91"/>
      <c r="Z66" s="91"/>
      <c r="AA66" s="91"/>
    </row>
    <row r="67" spans="1:27" ht="13" x14ac:dyDescent="0.15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124">
        <f ca="1">IFERROR(__xludf.DUMMYFUNCTION("IMPORTRANGE(""https://docs.google.com/spreadsheets/d/1v6b0q46VBcXM7PzH9mOfSHNhCj1F9h5NCCQDJSDxeVU/edit?gid=891716307#gid=891716307"",""IWB Balance Sheet!D15:H15"")"),25490065)</f>
        <v>25490065</v>
      </c>
      <c r="R67" s="124">
        <f ca="1">IFERROR(__xludf.DUMMYFUNCTION("""COMPUTED_VALUE"""),77907701)</f>
        <v>77907701</v>
      </c>
      <c r="S67" s="124">
        <f ca="1">IFERROR(__xludf.DUMMYFUNCTION("""COMPUTED_VALUE"""),101201958)</f>
        <v>101201958</v>
      </c>
      <c r="T67" s="124">
        <f ca="1">IFERROR(__xludf.DUMMYFUNCTION("""COMPUTED_VALUE"""),78552355)</f>
        <v>78552355</v>
      </c>
      <c r="U67" s="124">
        <f ca="1">IFERROR(__xludf.DUMMYFUNCTION("""COMPUTED_VALUE"""),65264485)</f>
        <v>65264485</v>
      </c>
      <c r="V67" s="91"/>
      <c r="W67" s="126">
        <f ca="1">IFERROR(__xludf.DUMMYFUNCTION("IMPORTRANGE(""https://docs.google.com/spreadsheets/d/1v6b0q46VBcXM7PzH9mOfSHNhCj1F9h5NCCQDJSDxeVU/edit?gid=1290911229#gid=1290911229"",""MASI Balance Sheet!D18:H18"")"),28194359)</f>
        <v>28194359</v>
      </c>
      <c r="X67" s="126">
        <f ca="1">IFERROR(__xludf.DUMMYFUNCTION("""COMPUTED_VALUE"""),31514407)</f>
        <v>31514407</v>
      </c>
      <c r="Y67" s="126">
        <f ca="1">IFERROR(__xludf.DUMMYFUNCTION("""COMPUTED_VALUE"""),35515111)</f>
        <v>35515111</v>
      </c>
      <c r="Z67" s="126">
        <f ca="1">IFERROR(__xludf.DUMMYFUNCTION("""COMPUTED_VALUE"""),28289355)</f>
        <v>28289355</v>
      </c>
      <c r="AA67" s="126">
        <f ca="1">IFERROR(__xludf.DUMMYFUNCTION("""COMPUTED_VALUE"""),26850416)</f>
        <v>26850416</v>
      </c>
    </row>
    <row r="69" spans="1:27" ht="14" x14ac:dyDescent="0.15">
      <c r="Q69" s="40" t="s">
        <v>532</v>
      </c>
      <c r="W69" s="40" t="s">
        <v>533</v>
      </c>
    </row>
    <row r="70" spans="1:27" ht="13" x14ac:dyDescent="0.15">
      <c r="Q70" s="4" t="str">
        <f ca="1">IFERROR(__xludf.DUMMYFUNCTION("IMPORTRANGE(""https://docs.google.com/spreadsheets/d/1JdAlMKJiTQw2IWv7_Qpzezfb_RHGVIdA9Eeo-zPP2Dw/edit?gid=952834811#gid=952834811"",""IWB Income Statements!D25:H25"")"),"#REF!")</f>
        <v>#REF!</v>
      </c>
      <c r="W70" s="38">
        <f ca="1">IFERROR(__xludf.DUMMYFUNCTION("IMPORTRANGE(""https://docs.google.com/spreadsheets/d/1v6b0q46VBcXM7PzH9mOfSHNhCj1F9h5NCCQDJSDxeVU/edit?gid=964636035#gid=964636035"",""MASI Income Statements!D22:H22"")"),794697)</f>
        <v>794697</v>
      </c>
      <c r="X70" s="38">
        <f ca="1">IFERROR(__xludf.DUMMYFUNCTION("""COMPUTED_VALUE"""),5393988)</f>
        <v>5393988</v>
      </c>
      <c r="Y70" s="38">
        <f ca="1">IFERROR(__xludf.DUMMYFUNCTION("""COMPUTED_VALUE"""),4453512)</f>
        <v>4453512</v>
      </c>
      <c r="Z70" s="38">
        <f ca="1">IFERROR(__xludf.DUMMYFUNCTION("""COMPUTED_VALUE"""),650172)</f>
        <v>650172</v>
      </c>
      <c r="AA70" s="38">
        <f ca="1">IFERROR(__xludf.DUMMYFUNCTION("""COMPUTED_VALUE"""),-1069922)</f>
        <v>-1069922</v>
      </c>
    </row>
  </sheetData>
  <mergeCells count="10">
    <mergeCell ref="A16:A18"/>
    <mergeCell ref="A21:A23"/>
    <mergeCell ref="I21:I23"/>
    <mergeCell ref="C1:G1"/>
    <mergeCell ref="K1:O1"/>
    <mergeCell ref="A5:A8"/>
    <mergeCell ref="I5:I8"/>
    <mergeCell ref="A11:A13"/>
    <mergeCell ref="I11:I13"/>
    <mergeCell ref="I16:I18"/>
  </mergeCells>
  <printOptions horizontalCentered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Z91"/>
  <sheetViews>
    <sheetView workbookViewId="0"/>
  </sheetViews>
  <sheetFormatPr baseColWidth="10" defaultColWidth="12.6640625" defaultRowHeight="15.75" customHeight="1" x14ac:dyDescent="0.15"/>
  <cols>
    <col min="3" max="3" width="16.83203125" customWidth="1"/>
    <col min="4" max="4" width="19.33203125" customWidth="1"/>
    <col min="5" max="5" width="13.83203125" customWidth="1"/>
    <col min="8" max="8" width="14.1640625" customWidth="1"/>
    <col min="9" max="9" width="16.83203125" customWidth="1"/>
    <col min="10" max="10" width="19.33203125" customWidth="1"/>
    <col min="11" max="11" width="13.6640625" customWidth="1"/>
  </cols>
  <sheetData>
    <row r="2" spans="2:18" ht="13" x14ac:dyDescent="0.15">
      <c r="B2" s="137" t="s">
        <v>534</v>
      </c>
      <c r="C2" s="138"/>
      <c r="D2" s="138"/>
      <c r="E2" s="139"/>
    </row>
    <row r="3" spans="2:18" ht="13" x14ac:dyDescent="0.15">
      <c r="B3" s="140"/>
      <c r="C3" s="141"/>
      <c r="D3" s="141"/>
      <c r="E3" s="142"/>
      <c r="M3" s="4" t="s">
        <v>535</v>
      </c>
      <c r="R3" s="143" t="s">
        <v>536</v>
      </c>
    </row>
    <row r="4" spans="2:18" ht="13" x14ac:dyDescent="0.15">
      <c r="B4" s="144" t="s">
        <v>537</v>
      </c>
      <c r="C4" s="145"/>
      <c r="D4" s="145" t="s">
        <v>538</v>
      </c>
      <c r="E4" s="146"/>
    </row>
    <row r="5" spans="2:18" ht="13" x14ac:dyDescent="0.15">
      <c r="B5" s="140"/>
      <c r="C5" s="141"/>
      <c r="D5" s="141"/>
      <c r="E5" s="142"/>
      <c r="O5" s="4" t="s">
        <v>539</v>
      </c>
    </row>
    <row r="6" spans="2:18" ht="14" x14ac:dyDescent="0.15">
      <c r="B6" s="144" t="s">
        <v>474</v>
      </c>
      <c r="C6" s="145"/>
      <c r="D6" s="145" t="s">
        <v>540</v>
      </c>
      <c r="E6" s="146"/>
      <c r="G6" s="143" t="s">
        <v>541</v>
      </c>
      <c r="N6" s="147">
        <v>2019</v>
      </c>
      <c r="O6" s="148">
        <v>0.10299999999999999</v>
      </c>
    </row>
    <row r="7" spans="2:18" ht="14" x14ac:dyDescent="0.15">
      <c r="B7" s="140"/>
      <c r="C7" s="141"/>
      <c r="D7" s="141"/>
      <c r="E7" s="142"/>
      <c r="N7" s="149">
        <v>2018</v>
      </c>
      <c r="O7" s="150">
        <v>0.126</v>
      </c>
    </row>
    <row r="8" spans="2:18" ht="14" x14ac:dyDescent="0.15">
      <c r="B8" s="144" t="s">
        <v>489</v>
      </c>
      <c r="C8" s="145"/>
      <c r="D8" s="145" t="s">
        <v>542</v>
      </c>
      <c r="E8" s="146"/>
      <c r="N8" s="147">
        <v>2017</v>
      </c>
      <c r="O8" s="148">
        <v>0.13500000000000001</v>
      </c>
    </row>
    <row r="9" spans="2:18" ht="14" x14ac:dyDescent="0.15">
      <c r="B9" s="140"/>
      <c r="C9" s="141"/>
      <c r="D9" s="141"/>
      <c r="E9" s="142"/>
      <c r="N9" s="149">
        <v>2016</v>
      </c>
      <c r="O9" s="150">
        <v>0.123</v>
      </c>
    </row>
    <row r="10" spans="2:18" ht="14" x14ac:dyDescent="0.15">
      <c r="B10" s="144" t="s">
        <v>543</v>
      </c>
      <c r="C10" s="145"/>
      <c r="D10" s="145" t="s">
        <v>544</v>
      </c>
      <c r="E10" s="146"/>
      <c r="N10" s="147">
        <v>2015</v>
      </c>
      <c r="O10" s="148">
        <v>9.9000000000000005E-2</v>
      </c>
    </row>
    <row r="11" spans="2:18" ht="14" x14ac:dyDescent="0.15">
      <c r="B11" s="140"/>
      <c r="C11" s="141"/>
      <c r="D11" s="141"/>
      <c r="E11" s="142"/>
      <c r="N11" s="149">
        <v>2014</v>
      </c>
      <c r="O11" s="150">
        <v>9.6000000000000002E-2</v>
      </c>
    </row>
    <row r="12" spans="2:18" ht="14" x14ac:dyDescent="0.15">
      <c r="B12" s="144" t="s">
        <v>545</v>
      </c>
      <c r="C12" s="145"/>
      <c r="D12" s="145" t="s">
        <v>546</v>
      </c>
      <c r="E12" s="146"/>
      <c r="N12" s="147">
        <v>2013</v>
      </c>
      <c r="O12" s="148">
        <v>9.1999999999999998E-2</v>
      </c>
    </row>
    <row r="13" spans="2:18" ht="14" x14ac:dyDescent="0.15">
      <c r="B13" s="151"/>
      <c r="C13" s="152"/>
      <c r="D13" s="152"/>
      <c r="E13" s="153"/>
      <c r="N13" s="149">
        <v>2012</v>
      </c>
      <c r="O13" s="150">
        <v>8.2000000000000003E-2</v>
      </c>
    </row>
    <row r="14" spans="2:18" ht="14" x14ac:dyDescent="0.15">
      <c r="N14" s="147">
        <v>2011</v>
      </c>
      <c r="O14" s="148">
        <v>8.3000000000000004E-2</v>
      </c>
    </row>
    <row r="15" spans="2:18" ht="14" x14ac:dyDescent="0.15">
      <c r="N15" s="149">
        <v>2010</v>
      </c>
      <c r="O15" s="150">
        <v>7.0999999999999994E-2</v>
      </c>
    </row>
    <row r="17" spans="1:26" ht="13" x14ac:dyDescent="0.15">
      <c r="B17" s="154" t="s">
        <v>547</v>
      </c>
      <c r="C17" s="155"/>
      <c r="H17" s="156" t="s">
        <v>548</v>
      </c>
      <c r="I17" s="157"/>
    </row>
    <row r="19" spans="1:26" ht="13" x14ac:dyDescent="0.15">
      <c r="B19" s="158" t="s">
        <v>537</v>
      </c>
      <c r="C19" s="159"/>
      <c r="D19" s="160" t="s">
        <v>536</v>
      </c>
      <c r="E19" s="159" t="s">
        <v>549</v>
      </c>
      <c r="F19" s="159"/>
      <c r="G19" s="159"/>
      <c r="H19" s="159"/>
      <c r="I19" s="159"/>
      <c r="J19" s="159"/>
      <c r="K19" s="159"/>
      <c r="L19" s="161"/>
    </row>
    <row r="20" spans="1:26" ht="13" x14ac:dyDescent="0.15">
      <c r="C20" s="162"/>
      <c r="D20" s="162"/>
      <c r="E20" s="162"/>
      <c r="F20" s="162"/>
      <c r="I20" s="162"/>
      <c r="J20" s="162"/>
      <c r="K20" s="162"/>
      <c r="L20" s="162"/>
    </row>
    <row r="21" spans="1:26" ht="17.25" customHeight="1" x14ac:dyDescent="0.15">
      <c r="A21" s="44"/>
      <c r="B21" s="44"/>
      <c r="C21" s="162" t="s">
        <v>465</v>
      </c>
      <c r="D21" s="162" t="s">
        <v>550</v>
      </c>
      <c r="E21" s="162" t="s">
        <v>551</v>
      </c>
      <c r="F21" s="162" t="s">
        <v>552</v>
      </c>
      <c r="G21" s="163" t="s">
        <v>553</v>
      </c>
      <c r="H21" s="44"/>
      <c r="I21" s="162" t="s">
        <v>465</v>
      </c>
      <c r="J21" s="162" t="s">
        <v>550</v>
      </c>
      <c r="K21" s="162" t="s">
        <v>551</v>
      </c>
      <c r="L21" s="162" t="s">
        <v>552</v>
      </c>
      <c r="M21" s="163" t="s">
        <v>553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7.25" customHeight="1" x14ac:dyDescent="0.15">
      <c r="B22" s="2">
        <v>2020</v>
      </c>
      <c r="C22" s="3">
        <v>14192552</v>
      </c>
      <c r="D22" s="3">
        <v>104520509</v>
      </c>
      <c r="E22" s="164">
        <f t="shared" ref="E22:E26" si="0">C22/D22</f>
        <v>0.13578724535296705</v>
      </c>
      <c r="F22" s="165">
        <f t="shared" ref="F22:F26" si="1">E22</f>
        <v>0.13578724535296705</v>
      </c>
      <c r="G22" s="165"/>
      <c r="H22" s="2">
        <v>2020</v>
      </c>
      <c r="I22" s="38">
        <v>794697</v>
      </c>
      <c r="J22" s="38">
        <v>128624279</v>
      </c>
      <c r="K22" s="164">
        <f t="shared" ref="K22:K26" si="2">I22/J22</f>
        <v>6.1784369652326679E-3</v>
      </c>
      <c r="L22" s="165">
        <f t="shared" ref="L22:L26" si="3">K22</f>
        <v>6.1784369652326679E-3</v>
      </c>
    </row>
    <row r="23" spans="1:26" ht="17.25" customHeight="1" x14ac:dyDescent="0.15">
      <c r="B23" s="2">
        <v>2021</v>
      </c>
      <c r="C23" s="3">
        <v>14537076</v>
      </c>
      <c r="D23" s="3">
        <v>159954385</v>
      </c>
      <c r="E23" s="164">
        <f t="shared" si="0"/>
        <v>9.0882635071242349E-2</v>
      </c>
      <c r="F23" s="165">
        <f t="shared" si="1"/>
        <v>9.0882635071242349E-2</v>
      </c>
      <c r="G23" s="166">
        <f t="shared" ref="G23:G26" si="4">F23-F22</f>
        <v>-4.4904610281724697E-2</v>
      </c>
      <c r="H23" s="2">
        <v>2021</v>
      </c>
      <c r="I23" s="38">
        <v>5393988</v>
      </c>
      <c r="J23" s="38">
        <v>135378690</v>
      </c>
      <c r="K23" s="164">
        <f t="shared" si="2"/>
        <v>3.9843700659239652E-2</v>
      </c>
      <c r="L23" s="165">
        <f t="shared" si="3"/>
        <v>3.9843700659239652E-2</v>
      </c>
      <c r="M23" s="167">
        <f t="shared" ref="M23:M26" si="5">L23-L22</f>
        <v>3.3665263694006985E-2</v>
      </c>
    </row>
    <row r="24" spans="1:26" ht="17.25" customHeight="1" x14ac:dyDescent="0.15">
      <c r="B24" s="2">
        <v>2022</v>
      </c>
      <c r="C24" s="3">
        <v>11242499</v>
      </c>
      <c r="D24" s="3">
        <v>193314620</v>
      </c>
      <c r="E24" s="164">
        <f t="shared" si="0"/>
        <v>5.8156486043321506E-2</v>
      </c>
      <c r="F24" s="165">
        <f t="shared" si="1"/>
        <v>5.8156486043321506E-2</v>
      </c>
      <c r="G24" s="166">
        <f t="shared" si="4"/>
        <v>-3.2726149027920842E-2</v>
      </c>
      <c r="H24" s="2">
        <v>2022</v>
      </c>
      <c r="I24" s="38">
        <v>4453512</v>
      </c>
      <c r="J24" s="38">
        <v>138837836</v>
      </c>
      <c r="K24" s="164">
        <f t="shared" si="2"/>
        <v>3.207707731774212E-2</v>
      </c>
      <c r="L24" s="165">
        <f t="shared" si="3"/>
        <v>3.207707731774212E-2</v>
      </c>
      <c r="M24" s="166">
        <f t="shared" si="5"/>
        <v>-7.7666233414975319E-3</v>
      </c>
    </row>
    <row r="25" spans="1:26" ht="17.25" customHeight="1" x14ac:dyDescent="0.15">
      <c r="B25" s="2">
        <v>2023</v>
      </c>
      <c r="C25" s="3">
        <v>16300463</v>
      </c>
      <c r="D25" s="3">
        <v>209490377</v>
      </c>
      <c r="E25" s="164">
        <f t="shared" si="0"/>
        <v>7.7810080030549567E-2</v>
      </c>
      <c r="F25" s="165">
        <f t="shared" si="1"/>
        <v>7.7810080030549567E-2</v>
      </c>
      <c r="G25" s="167">
        <f t="shared" si="4"/>
        <v>1.965359398722806E-2</v>
      </c>
      <c r="H25" s="2">
        <v>2023</v>
      </c>
      <c r="I25" s="38">
        <v>650172</v>
      </c>
      <c r="J25" s="38">
        <v>135177284</v>
      </c>
      <c r="K25" s="164">
        <f t="shared" si="2"/>
        <v>4.8097726242228691E-3</v>
      </c>
      <c r="L25" s="165">
        <f t="shared" si="3"/>
        <v>4.8097726242228691E-3</v>
      </c>
      <c r="M25" s="166">
        <f t="shared" si="5"/>
        <v>-2.7267304693519252E-2</v>
      </c>
    </row>
    <row r="26" spans="1:26" ht="17.25" customHeight="1" x14ac:dyDescent="0.15">
      <c r="B26" s="2">
        <v>2024</v>
      </c>
      <c r="C26" s="3">
        <v>22335624</v>
      </c>
      <c r="D26" s="3">
        <v>226534369</v>
      </c>
      <c r="E26" s="164">
        <f t="shared" si="0"/>
        <v>9.859706541924329E-2</v>
      </c>
      <c r="F26" s="165">
        <f t="shared" si="1"/>
        <v>9.859706541924329E-2</v>
      </c>
      <c r="G26" s="167">
        <f t="shared" si="4"/>
        <v>2.0786985388693724E-2</v>
      </c>
      <c r="H26" s="2">
        <v>2024</v>
      </c>
      <c r="I26" s="38">
        <v>-1069922</v>
      </c>
      <c r="J26" s="38">
        <v>135716141</v>
      </c>
      <c r="K26" s="164">
        <f t="shared" si="2"/>
        <v>-7.8835280174964599E-3</v>
      </c>
      <c r="L26" s="165">
        <f t="shared" si="3"/>
        <v>-7.8835280174964599E-3</v>
      </c>
      <c r="M26" s="166">
        <f t="shared" si="5"/>
        <v>-1.2693300641719328E-2</v>
      </c>
    </row>
    <row r="27" spans="1:26" ht="17.25" customHeight="1" x14ac:dyDescent="0.15">
      <c r="E27" s="164"/>
      <c r="F27" s="165"/>
    </row>
    <row r="28" spans="1:26" ht="17.25" customHeight="1" x14ac:dyDescent="0.15">
      <c r="E28" s="164"/>
      <c r="F28" s="165"/>
    </row>
    <row r="29" spans="1:26" ht="17.25" customHeight="1" x14ac:dyDescent="0.15">
      <c r="B29" s="158" t="s">
        <v>474</v>
      </c>
      <c r="C29" s="159"/>
      <c r="D29" s="159"/>
      <c r="E29" s="168"/>
      <c r="F29" s="169"/>
      <c r="G29" s="159"/>
      <c r="H29" s="159"/>
      <c r="I29" s="159"/>
      <c r="J29" s="159"/>
      <c r="K29" s="159"/>
      <c r="L29" s="161"/>
    </row>
    <row r="30" spans="1:26" ht="17.25" customHeight="1" x14ac:dyDescent="0.15">
      <c r="C30" s="162"/>
      <c r="D30" s="162"/>
      <c r="E30" s="162"/>
      <c r="F30" s="162"/>
      <c r="I30" s="162"/>
      <c r="J30" s="162"/>
      <c r="K30" s="162"/>
      <c r="L30" s="162"/>
    </row>
    <row r="31" spans="1:26" ht="17.25" customHeight="1" x14ac:dyDescent="0.15">
      <c r="A31" s="44"/>
      <c r="B31" s="44"/>
      <c r="C31" s="162" t="s">
        <v>554</v>
      </c>
      <c r="D31" s="162" t="s">
        <v>139</v>
      </c>
      <c r="E31" s="162" t="s">
        <v>474</v>
      </c>
      <c r="F31" s="162" t="s">
        <v>552</v>
      </c>
      <c r="G31" s="163" t="s">
        <v>553</v>
      </c>
      <c r="H31" s="44"/>
      <c r="I31" s="162" t="s">
        <v>554</v>
      </c>
      <c r="J31" s="162" t="s">
        <v>139</v>
      </c>
      <c r="K31" s="162" t="s">
        <v>474</v>
      </c>
      <c r="L31" s="162" t="s">
        <v>552</v>
      </c>
      <c r="M31" s="163" t="s">
        <v>553</v>
      </c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7.25" customHeight="1" x14ac:dyDescent="0.15">
      <c r="B32" s="2">
        <v>2020</v>
      </c>
      <c r="C32" s="3">
        <v>14192552</v>
      </c>
      <c r="D32" s="3">
        <v>210628923</v>
      </c>
      <c r="E32" s="164">
        <f t="shared" ref="E32:E36" si="6">C32/D32</f>
        <v>6.7381781181115374E-2</v>
      </c>
      <c r="F32" s="165">
        <f t="shared" ref="F32:F36" si="7">E32</f>
        <v>6.7381781181115374E-2</v>
      </c>
      <c r="H32" s="2">
        <v>2020</v>
      </c>
      <c r="I32" s="38">
        <v>794697</v>
      </c>
      <c r="J32" s="38">
        <v>51682390</v>
      </c>
      <c r="K32" s="164">
        <f t="shared" ref="K32:K36" si="8">I32/J32</f>
        <v>1.5376552825827134E-2</v>
      </c>
      <c r="L32" s="165">
        <f t="shared" ref="L32:L36" si="9">K32</f>
        <v>1.5376552825827134E-2</v>
      </c>
    </row>
    <row r="33" spans="1:26" ht="17.25" customHeight="1" x14ac:dyDescent="0.15">
      <c r="B33" s="2">
        <v>2021</v>
      </c>
      <c r="C33" s="3">
        <v>14537076</v>
      </c>
      <c r="D33" s="3">
        <v>329226074</v>
      </c>
      <c r="E33" s="164">
        <f t="shared" si="6"/>
        <v>4.4155299801679739E-2</v>
      </c>
      <c r="F33" s="165">
        <f t="shared" si="7"/>
        <v>4.4155299801679739E-2</v>
      </c>
      <c r="G33" s="166">
        <f t="shared" ref="G33:G36" si="10">F33-F32</f>
        <v>-2.3226481379435636E-2</v>
      </c>
      <c r="H33" s="2">
        <v>2021</v>
      </c>
      <c r="I33" s="38">
        <v>5393988</v>
      </c>
      <c r="J33" s="38">
        <v>66372422</v>
      </c>
      <c r="K33" s="164">
        <f t="shared" si="8"/>
        <v>8.1268512395102896E-2</v>
      </c>
      <c r="L33" s="165">
        <f t="shared" si="9"/>
        <v>8.1268512395102896E-2</v>
      </c>
      <c r="M33" s="170">
        <f t="shared" ref="M33:M36" si="11">L33-L32</f>
        <v>6.5891959569275765E-2</v>
      </c>
    </row>
    <row r="34" spans="1:26" ht="17.25" customHeight="1" x14ac:dyDescent="0.15">
      <c r="B34" s="2">
        <v>2022</v>
      </c>
      <c r="C34" s="3">
        <v>11242499</v>
      </c>
      <c r="D34" s="3">
        <v>396838417</v>
      </c>
      <c r="E34" s="164">
        <f t="shared" si="6"/>
        <v>2.8330167943392437E-2</v>
      </c>
      <c r="F34" s="165">
        <f t="shared" si="7"/>
        <v>2.8330167943392437E-2</v>
      </c>
      <c r="G34" s="166">
        <f t="shared" si="10"/>
        <v>-1.5825131858287302E-2</v>
      </c>
      <c r="H34" s="2">
        <v>2022</v>
      </c>
      <c r="I34" s="38">
        <v>4453512</v>
      </c>
      <c r="J34" s="38">
        <v>74736807</v>
      </c>
      <c r="K34" s="164">
        <f t="shared" si="8"/>
        <v>5.9589273060595166E-2</v>
      </c>
      <c r="L34" s="165">
        <f t="shared" si="9"/>
        <v>5.9589273060595166E-2</v>
      </c>
      <c r="M34" s="166">
        <f t="shared" si="11"/>
        <v>-2.167923933450773E-2</v>
      </c>
    </row>
    <row r="35" spans="1:26" ht="17.25" customHeight="1" x14ac:dyDescent="0.15">
      <c r="B35" s="2">
        <v>2023</v>
      </c>
      <c r="C35" s="3">
        <v>16300463</v>
      </c>
      <c r="D35" s="3">
        <v>413772484</v>
      </c>
      <c r="E35" s="164">
        <f t="shared" si="6"/>
        <v>3.9394748636789489E-2</v>
      </c>
      <c r="F35" s="165">
        <f t="shared" si="7"/>
        <v>3.9394748636789489E-2</v>
      </c>
      <c r="G35" s="170">
        <f t="shared" si="10"/>
        <v>1.1064580693397053E-2</v>
      </c>
      <c r="H35" s="2">
        <v>2023</v>
      </c>
      <c r="I35" s="38">
        <v>650172</v>
      </c>
      <c r="J35" s="38">
        <v>66431396</v>
      </c>
      <c r="K35" s="164">
        <f t="shared" si="8"/>
        <v>9.7871193313474845E-3</v>
      </c>
      <c r="L35" s="165">
        <f t="shared" si="9"/>
        <v>9.7871193313474845E-3</v>
      </c>
      <c r="M35" s="166">
        <f t="shared" si="11"/>
        <v>-4.9802153729247678E-2</v>
      </c>
    </row>
    <row r="36" spans="1:26" ht="17.25" customHeight="1" x14ac:dyDescent="0.15">
      <c r="B36" s="2">
        <v>2024</v>
      </c>
      <c r="C36" s="3">
        <v>22335624</v>
      </c>
      <c r="D36" s="3">
        <v>391043255</v>
      </c>
      <c r="E36" s="164">
        <f t="shared" si="6"/>
        <v>5.7118039281869211E-2</v>
      </c>
      <c r="F36" s="165">
        <f t="shared" si="7"/>
        <v>5.7118039281869211E-2</v>
      </c>
      <c r="G36" s="170">
        <f t="shared" si="10"/>
        <v>1.7723290645079721E-2</v>
      </c>
      <c r="H36" s="2">
        <v>2024</v>
      </c>
      <c r="I36" s="38">
        <v>-1069922</v>
      </c>
      <c r="J36" s="38">
        <v>66841283</v>
      </c>
      <c r="K36" s="164">
        <f t="shared" si="8"/>
        <v>-1.6006903996741057E-2</v>
      </c>
      <c r="L36" s="165">
        <f t="shared" si="9"/>
        <v>-1.6006903996741057E-2</v>
      </c>
      <c r="M36" s="166">
        <f t="shared" si="11"/>
        <v>-2.5794023328088542E-2</v>
      </c>
    </row>
    <row r="37" spans="1:26" ht="17.25" customHeight="1" x14ac:dyDescent="0.15"/>
    <row r="38" spans="1:26" ht="17.25" customHeight="1" x14ac:dyDescent="0.15">
      <c r="F38" s="4" t="s">
        <v>555</v>
      </c>
      <c r="G38" s="166">
        <f>F36-F32</f>
        <v>-1.0263741899246163E-2</v>
      </c>
      <c r="L38" s="4" t="s">
        <v>555</v>
      </c>
      <c r="M38" s="166">
        <f>L36-L32</f>
        <v>-3.1383456822568191E-2</v>
      </c>
    </row>
    <row r="39" spans="1:26" ht="17.25" customHeight="1" x14ac:dyDescent="0.15">
      <c r="A39" s="171"/>
      <c r="B39" s="172"/>
      <c r="C39" s="171"/>
      <c r="D39" s="171"/>
      <c r="E39" s="173"/>
      <c r="F39" s="174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 t="s">
        <v>556</v>
      </c>
      <c r="T39" s="171"/>
      <c r="U39" s="171"/>
      <c r="V39" s="171"/>
      <c r="W39" s="171"/>
      <c r="X39" s="171"/>
      <c r="Y39" s="171"/>
      <c r="Z39" s="171"/>
    </row>
    <row r="40" spans="1:26" ht="17.25" customHeight="1" x14ac:dyDescent="0.15">
      <c r="B40" s="158" t="s">
        <v>489</v>
      </c>
      <c r="C40" s="159"/>
      <c r="D40" s="159"/>
      <c r="E40" s="168"/>
      <c r="F40" s="169"/>
      <c r="G40" s="159"/>
      <c r="H40" s="159"/>
      <c r="I40" s="159"/>
      <c r="J40" s="159"/>
      <c r="K40" s="159"/>
      <c r="L40" s="161"/>
    </row>
    <row r="41" spans="1:26" ht="17.25" customHeight="1" x14ac:dyDescent="0.15">
      <c r="C41" s="162"/>
      <c r="D41" s="162"/>
      <c r="E41" s="162"/>
      <c r="F41" s="44"/>
      <c r="I41" s="162"/>
      <c r="J41" s="162"/>
      <c r="K41" s="162"/>
    </row>
    <row r="42" spans="1:26" ht="17.25" customHeight="1" x14ac:dyDescent="0.15">
      <c r="A42" s="44"/>
      <c r="B42" s="44"/>
      <c r="C42" s="162" t="s">
        <v>139</v>
      </c>
      <c r="D42" s="162" t="s">
        <v>557</v>
      </c>
      <c r="E42" s="162" t="s">
        <v>558</v>
      </c>
      <c r="F42" s="44"/>
      <c r="G42" s="44"/>
      <c r="H42" s="44"/>
      <c r="I42" s="162" t="s">
        <v>139</v>
      </c>
      <c r="J42" s="162" t="s">
        <v>557</v>
      </c>
      <c r="K42" s="162" t="s">
        <v>489</v>
      </c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7.25" customHeight="1" x14ac:dyDescent="0.15">
      <c r="B43" s="2">
        <v>2020</v>
      </c>
      <c r="C43" s="3">
        <v>210628923</v>
      </c>
      <c r="D43" s="3">
        <v>222140508</v>
      </c>
      <c r="E43" s="164">
        <f t="shared" ref="E43:E47" si="12">C43/D43</f>
        <v>0.94817881212372124</v>
      </c>
      <c r="F43" s="165"/>
      <c r="H43" s="2">
        <v>2020</v>
      </c>
      <c r="I43" s="38">
        <v>51682390</v>
      </c>
      <c r="J43" s="38">
        <v>180849122</v>
      </c>
      <c r="K43" s="164">
        <f t="shared" ref="K43:K47" si="13">I43/J43</f>
        <v>0.28577628372450709</v>
      </c>
    </row>
    <row r="44" spans="1:26" ht="17.25" customHeight="1" x14ac:dyDescent="0.15">
      <c r="B44" s="2">
        <v>2021</v>
      </c>
      <c r="C44" s="3">
        <v>329226074</v>
      </c>
      <c r="D44" s="3">
        <v>501146584</v>
      </c>
      <c r="E44" s="164">
        <f t="shared" si="12"/>
        <v>0.65694566123192411</v>
      </c>
      <c r="F44" s="165"/>
      <c r="H44" s="2">
        <v>2021</v>
      </c>
      <c r="I44" s="38">
        <v>66372422</v>
      </c>
      <c r="J44" s="38">
        <v>202826047</v>
      </c>
      <c r="K44" s="164">
        <f t="shared" si="13"/>
        <v>0.32723815792751709</v>
      </c>
    </row>
    <row r="45" spans="1:26" ht="17.25" customHeight="1" x14ac:dyDescent="0.15">
      <c r="B45" s="2">
        <v>2022</v>
      </c>
      <c r="C45" s="3">
        <v>396838417</v>
      </c>
      <c r="D45" s="3">
        <v>561316948</v>
      </c>
      <c r="E45" s="164">
        <f t="shared" si="12"/>
        <v>0.70697743656940137</v>
      </c>
      <c r="F45" s="165"/>
      <c r="H45" s="2">
        <v>2022</v>
      </c>
      <c r="I45" s="38">
        <v>74736807</v>
      </c>
      <c r="J45" s="38">
        <v>211631611</v>
      </c>
      <c r="K45" s="164">
        <f t="shared" si="13"/>
        <v>0.3531457642213951</v>
      </c>
    </row>
    <row r="46" spans="1:26" ht="17.25" customHeight="1" x14ac:dyDescent="0.15">
      <c r="B46" s="2">
        <v>2023</v>
      </c>
      <c r="C46" s="3">
        <v>413772484</v>
      </c>
      <c r="D46" s="3">
        <v>537056473</v>
      </c>
      <c r="E46" s="164">
        <f t="shared" si="12"/>
        <v>0.77044501798603215</v>
      </c>
      <c r="F46" s="165"/>
      <c r="H46" s="2">
        <v>2023</v>
      </c>
      <c r="I46" s="38">
        <v>66431396</v>
      </c>
      <c r="J46" s="38">
        <v>209362698</v>
      </c>
      <c r="K46" s="164">
        <f t="shared" si="13"/>
        <v>0.31730292279668654</v>
      </c>
    </row>
    <row r="47" spans="1:26" ht="17.25" customHeight="1" x14ac:dyDescent="0.15">
      <c r="B47" s="2">
        <v>2024</v>
      </c>
      <c r="C47" s="175">
        <v>391043255</v>
      </c>
      <c r="D47" s="3">
        <v>499605256</v>
      </c>
      <c r="E47" s="164">
        <f t="shared" si="12"/>
        <v>0.78270444576748011</v>
      </c>
      <c r="F47" s="165"/>
      <c r="H47" s="2">
        <v>2024</v>
      </c>
      <c r="I47" s="38">
        <v>66841283</v>
      </c>
      <c r="J47" s="38">
        <v>207148324</v>
      </c>
      <c r="K47" s="164">
        <f t="shared" si="13"/>
        <v>0.32267353995101594</v>
      </c>
    </row>
    <row r="48" spans="1:26" ht="17.25" customHeight="1" x14ac:dyDescent="0.15"/>
    <row r="49" spans="1:26" ht="17.25" customHeight="1" x14ac:dyDescent="0.15">
      <c r="A49" s="171"/>
      <c r="B49" s="171"/>
    </row>
    <row r="50" spans="1:26" ht="17.25" customHeight="1" x14ac:dyDescent="0.15">
      <c r="B50" s="158" t="s">
        <v>559</v>
      </c>
      <c r="C50" s="159"/>
      <c r="D50" s="159"/>
      <c r="E50" s="168"/>
      <c r="F50" s="169"/>
      <c r="G50" s="159"/>
      <c r="H50" s="159"/>
      <c r="I50" s="159"/>
      <c r="J50" s="159"/>
      <c r="K50" s="159"/>
      <c r="L50" s="161"/>
    </row>
    <row r="51" spans="1:26" ht="17.25" customHeight="1" x14ac:dyDescent="0.15">
      <c r="B51" s="4" t="s">
        <v>560</v>
      </c>
      <c r="C51" s="162"/>
      <c r="D51" s="162"/>
      <c r="E51" s="162"/>
      <c r="F51" s="44"/>
      <c r="I51" s="162"/>
      <c r="J51" s="162"/>
      <c r="K51" s="162"/>
    </row>
    <row r="52" spans="1:26" ht="17.25" customHeight="1" x14ac:dyDescent="0.15">
      <c r="A52" s="44"/>
      <c r="B52" s="44"/>
      <c r="C52" s="162" t="s">
        <v>557</v>
      </c>
      <c r="D52" s="162" t="s">
        <v>561</v>
      </c>
      <c r="E52" s="162" t="s">
        <v>562</v>
      </c>
      <c r="F52" s="44"/>
      <c r="G52" s="44"/>
      <c r="H52" s="44"/>
      <c r="I52" s="162" t="s">
        <v>557</v>
      </c>
      <c r="J52" s="162" t="s">
        <v>561</v>
      </c>
      <c r="K52" s="162" t="s">
        <v>562</v>
      </c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17.25" customHeight="1" x14ac:dyDescent="0.15">
      <c r="B53" s="2">
        <v>2020</v>
      </c>
      <c r="C53" s="3">
        <v>222140508</v>
      </c>
      <c r="D53" s="3">
        <v>104520509</v>
      </c>
      <c r="E53" s="164">
        <f t="shared" ref="E53:E57" si="14">C53/D53</f>
        <v>2.1253293743527406</v>
      </c>
      <c r="F53" s="165"/>
      <c r="H53" s="2">
        <v>2020</v>
      </c>
      <c r="I53" s="38">
        <v>180849122</v>
      </c>
      <c r="J53" s="38">
        <v>128624279</v>
      </c>
      <c r="K53" s="164">
        <f t="shared" ref="K53:K57" si="15">I53/J53</f>
        <v>1.4060263226043039</v>
      </c>
    </row>
    <row r="54" spans="1:26" ht="17.25" customHeight="1" x14ac:dyDescent="0.15">
      <c r="B54" s="2">
        <v>2021</v>
      </c>
      <c r="C54" s="3">
        <v>501146584</v>
      </c>
      <c r="D54" s="3">
        <v>159954385</v>
      </c>
      <c r="E54" s="164">
        <f t="shared" si="14"/>
        <v>3.1330593656435237</v>
      </c>
      <c r="F54" s="165"/>
      <c r="H54" s="2">
        <v>2021</v>
      </c>
      <c r="I54" s="38">
        <v>202826047</v>
      </c>
      <c r="J54" s="38">
        <v>135378690</v>
      </c>
      <c r="K54" s="164">
        <f t="shared" si="15"/>
        <v>1.4982125104032251</v>
      </c>
    </row>
    <row r="55" spans="1:26" ht="17.25" customHeight="1" x14ac:dyDescent="0.15">
      <c r="B55" s="2">
        <v>2022</v>
      </c>
      <c r="C55" s="3">
        <v>561316948</v>
      </c>
      <c r="D55" s="3">
        <v>193314620</v>
      </c>
      <c r="E55" s="164">
        <f t="shared" si="14"/>
        <v>2.9036445769078405</v>
      </c>
      <c r="F55" s="165"/>
      <c r="H55" s="2">
        <v>2022</v>
      </c>
      <c r="I55" s="38">
        <v>211631611</v>
      </c>
      <c r="J55" s="38">
        <v>138837836</v>
      </c>
      <c r="K55" s="164">
        <f t="shared" si="15"/>
        <v>1.5243079055193571</v>
      </c>
    </row>
    <row r="56" spans="1:26" ht="17.25" customHeight="1" x14ac:dyDescent="0.15">
      <c r="B56" s="2">
        <v>2023</v>
      </c>
      <c r="C56" s="3">
        <v>537056473</v>
      </c>
      <c r="D56" s="3">
        <v>209490377</v>
      </c>
      <c r="E56" s="164">
        <f t="shared" si="14"/>
        <v>2.5636331400558796</v>
      </c>
      <c r="F56" s="165"/>
      <c r="H56" s="2">
        <v>2023</v>
      </c>
      <c r="I56" s="38">
        <v>209362698</v>
      </c>
      <c r="J56" s="38">
        <v>135177284</v>
      </c>
      <c r="K56" s="164">
        <f t="shared" si="15"/>
        <v>1.5488008917237899</v>
      </c>
    </row>
    <row r="57" spans="1:26" ht="17.25" customHeight="1" x14ac:dyDescent="0.15">
      <c r="B57" s="2">
        <v>2024</v>
      </c>
      <c r="C57" s="3">
        <v>499605256</v>
      </c>
      <c r="D57" s="3">
        <v>226534369</v>
      </c>
      <c r="E57" s="164">
        <f t="shared" si="14"/>
        <v>2.2054280690626684</v>
      </c>
      <c r="F57" s="165"/>
      <c r="H57" s="2">
        <v>2024</v>
      </c>
      <c r="I57" s="38">
        <v>207148324</v>
      </c>
      <c r="J57" s="38">
        <v>135716141</v>
      </c>
      <c r="K57" s="164">
        <f t="shared" si="15"/>
        <v>1.5263352057733501</v>
      </c>
    </row>
    <row r="58" spans="1:26" ht="17.25" customHeight="1" x14ac:dyDescent="0.15"/>
    <row r="59" spans="1:26" ht="17.25" customHeight="1" x14ac:dyDescent="0.15"/>
    <row r="60" spans="1:26" ht="17.25" customHeight="1" x14ac:dyDescent="0.15">
      <c r="B60" s="158" t="s">
        <v>545</v>
      </c>
      <c r="C60" s="159"/>
      <c r="D60" s="159"/>
      <c r="E60" s="168"/>
      <c r="F60" s="159"/>
      <c r="G60" s="159"/>
      <c r="H60" s="159"/>
      <c r="I60" s="159"/>
      <c r="J60" s="159"/>
      <c r="K60" s="159"/>
      <c r="L60" s="161"/>
    </row>
    <row r="61" spans="1:26" ht="17.25" customHeight="1" x14ac:dyDescent="0.15">
      <c r="C61" s="162"/>
      <c r="D61" s="162"/>
      <c r="E61" s="162"/>
      <c r="F61" s="162"/>
      <c r="I61" s="162"/>
      <c r="J61" s="162"/>
      <c r="K61" s="162"/>
      <c r="L61" s="162"/>
    </row>
    <row r="62" spans="1:26" ht="17.25" customHeight="1" x14ac:dyDescent="0.15">
      <c r="A62" s="44"/>
      <c r="B62" s="44"/>
      <c r="C62" s="162" t="s">
        <v>554</v>
      </c>
      <c r="D62" s="162" t="s">
        <v>58</v>
      </c>
      <c r="E62" s="162" t="s">
        <v>563</v>
      </c>
      <c r="F62" s="162" t="s">
        <v>552</v>
      </c>
      <c r="G62" s="163" t="s">
        <v>553</v>
      </c>
      <c r="H62" s="44"/>
      <c r="I62" s="162" t="s">
        <v>554</v>
      </c>
      <c r="J62" s="162" t="s">
        <v>58</v>
      </c>
      <c r="K62" s="162" t="s">
        <v>563</v>
      </c>
      <c r="L62" s="162" t="s">
        <v>552</v>
      </c>
      <c r="M62" s="163" t="s">
        <v>553</v>
      </c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7.25" customHeight="1" x14ac:dyDescent="0.15">
      <c r="B63" s="2">
        <v>2020</v>
      </c>
      <c r="C63" s="3">
        <v>14192552</v>
      </c>
      <c r="D63" s="3">
        <v>222140508</v>
      </c>
      <c r="E63" s="164">
        <f t="shared" ref="E63:E67" si="16">C63/D63</f>
        <v>6.3889977239090498E-2</v>
      </c>
      <c r="F63" s="165">
        <f t="shared" ref="F63:F67" si="17">E63</f>
        <v>6.3889977239090498E-2</v>
      </c>
      <c r="H63" s="2">
        <v>2020</v>
      </c>
      <c r="I63" s="38">
        <v>794697</v>
      </c>
      <c r="J63" s="38">
        <v>180849122</v>
      </c>
      <c r="K63" s="164">
        <f t="shared" ref="K63:K67" si="18">I63/J63</f>
        <v>4.3942541230584465E-3</v>
      </c>
      <c r="L63" s="165">
        <f t="shared" ref="L63:L67" si="19">K63</f>
        <v>4.3942541230584465E-3</v>
      </c>
    </row>
    <row r="64" spans="1:26" ht="17.25" customHeight="1" x14ac:dyDescent="0.15">
      <c r="B64" s="2">
        <v>2021</v>
      </c>
      <c r="C64" s="3">
        <v>14537076</v>
      </c>
      <c r="D64" s="3">
        <v>501146584</v>
      </c>
      <c r="E64" s="164">
        <f t="shared" si="16"/>
        <v>2.9007632625108346E-2</v>
      </c>
      <c r="F64" s="165">
        <f t="shared" si="17"/>
        <v>2.9007632625108346E-2</v>
      </c>
      <c r="G64" s="166">
        <f t="shared" ref="G64:G67" si="20">F64-F63</f>
        <v>-3.4882344613982152E-2</v>
      </c>
      <c r="H64" s="2">
        <v>2021</v>
      </c>
      <c r="I64" s="38">
        <v>5393988</v>
      </c>
      <c r="J64" s="38">
        <v>202826047</v>
      </c>
      <c r="K64" s="164">
        <f t="shared" si="18"/>
        <v>2.659415829368306E-2</v>
      </c>
      <c r="L64" s="165">
        <f t="shared" si="19"/>
        <v>2.659415829368306E-2</v>
      </c>
      <c r="M64" s="170">
        <f t="shared" ref="M64:M67" si="21">L64-L63</f>
        <v>2.2199904170624615E-2</v>
      </c>
    </row>
    <row r="65" spans="2:17" ht="17.25" customHeight="1" x14ac:dyDescent="0.15">
      <c r="B65" s="2">
        <v>2022</v>
      </c>
      <c r="C65" s="3">
        <v>11242499</v>
      </c>
      <c r="D65" s="3">
        <v>561316948</v>
      </c>
      <c r="E65" s="164">
        <f t="shared" si="16"/>
        <v>2.0028789510200217E-2</v>
      </c>
      <c r="F65" s="165">
        <f t="shared" si="17"/>
        <v>2.0028789510200217E-2</v>
      </c>
      <c r="G65" s="166">
        <f t="shared" si="20"/>
        <v>-8.9788431149081284E-3</v>
      </c>
      <c r="H65" s="2">
        <v>2022</v>
      </c>
      <c r="I65" s="38">
        <v>4453512</v>
      </c>
      <c r="J65" s="38">
        <v>211631611</v>
      </c>
      <c r="K65" s="164">
        <f t="shared" si="18"/>
        <v>2.1043699374381268E-2</v>
      </c>
      <c r="L65" s="165">
        <f t="shared" si="19"/>
        <v>2.1043699374381268E-2</v>
      </c>
      <c r="M65" s="166">
        <f t="shared" si="21"/>
        <v>-5.5504589193017921E-3</v>
      </c>
    </row>
    <row r="66" spans="2:17" ht="17.25" customHeight="1" x14ac:dyDescent="0.15">
      <c r="B66" s="2">
        <v>2023</v>
      </c>
      <c r="C66" s="3">
        <v>16300463</v>
      </c>
      <c r="D66" s="3">
        <v>537056473</v>
      </c>
      <c r="E66" s="164">
        <f t="shared" si="16"/>
        <v>3.0351487822026492E-2</v>
      </c>
      <c r="F66" s="165">
        <f t="shared" si="17"/>
        <v>3.0351487822026492E-2</v>
      </c>
      <c r="G66" s="170">
        <f t="shared" si="20"/>
        <v>1.0322698311826275E-2</v>
      </c>
      <c r="H66" s="2">
        <v>2023</v>
      </c>
      <c r="I66" s="38">
        <v>650172</v>
      </c>
      <c r="J66" s="38">
        <v>209362698</v>
      </c>
      <c r="K66" s="164">
        <f t="shared" si="18"/>
        <v>3.1054815695965095E-3</v>
      </c>
      <c r="L66" s="165">
        <f t="shared" si="19"/>
        <v>3.1054815695965095E-3</v>
      </c>
      <c r="M66" s="166">
        <f t="shared" si="21"/>
        <v>-1.7938217804784759E-2</v>
      </c>
    </row>
    <row r="67" spans="2:17" ht="17.25" customHeight="1" x14ac:dyDescent="0.15">
      <c r="B67" s="2">
        <v>2024</v>
      </c>
      <c r="C67" s="3">
        <v>22335624</v>
      </c>
      <c r="D67" s="3">
        <v>499605256</v>
      </c>
      <c r="E67" s="164">
        <f t="shared" si="16"/>
        <v>4.4706543279440597E-2</v>
      </c>
      <c r="F67" s="165">
        <f t="shared" si="17"/>
        <v>4.4706543279440597E-2</v>
      </c>
      <c r="G67" s="170">
        <f t="shared" si="20"/>
        <v>1.4355055457414105E-2</v>
      </c>
      <c r="H67" s="2">
        <v>2024</v>
      </c>
      <c r="I67" s="38">
        <v>-1069922</v>
      </c>
      <c r="J67" s="38">
        <v>207148324</v>
      </c>
      <c r="K67" s="164">
        <f t="shared" si="18"/>
        <v>-5.1650043762845026E-3</v>
      </c>
      <c r="L67" s="165">
        <f t="shared" si="19"/>
        <v>-5.1650043762845026E-3</v>
      </c>
      <c r="M67" s="166">
        <f t="shared" si="21"/>
        <v>-8.2704859458810117E-3</v>
      </c>
    </row>
    <row r="70" spans="2:17" ht="13" x14ac:dyDescent="0.15">
      <c r="B70" s="158" t="s">
        <v>564</v>
      </c>
      <c r="C70" s="159"/>
      <c r="D70" s="159"/>
      <c r="E70" s="168"/>
      <c r="F70" s="159"/>
      <c r="G70" s="159"/>
      <c r="H70" s="159"/>
      <c r="I70" s="159"/>
      <c r="J70" s="159"/>
      <c r="K70" s="159"/>
      <c r="L70" s="161"/>
    </row>
    <row r="71" spans="2:17" ht="13" x14ac:dyDescent="0.15">
      <c r="C71" s="44"/>
      <c r="D71" s="44"/>
      <c r="E71" s="44"/>
      <c r="F71" s="44"/>
      <c r="I71" s="44"/>
      <c r="J71" s="44"/>
      <c r="K71" s="44"/>
      <c r="L71" s="44"/>
    </row>
    <row r="72" spans="2:17" ht="13" x14ac:dyDescent="0.15">
      <c r="G72" s="44"/>
    </row>
    <row r="73" spans="2:17" ht="13" x14ac:dyDescent="0.15">
      <c r="B73" s="154" t="s">
        <v>547</v>
      </c>
      <c r="C73" s="155"/>
      <c r="M73" s="4" t="s">
        <v>565</v>
      </c>
    </row>
    <row r="74" spans="2:17" ht="13" x14ac:dyDescent="0.15">
      <c r="B74" s="44"/>
      <c r="C74" s="162" t="s">
        <v>551</v>
      </c>
      <c r="D74" s="162" t="s">
        <v>474</v>
      </c>
      <c r="E74" s="163" t="s">
        <v>553</v>
      </c>
      <c r="F74" s="162" t="s">
        <v>489</v>
      </c>
      <c r="G74" s="163" t="s">
        <v>553</v>
      </c>
      <c r="H74" s="162" t="s">
        <v>562</v>
      </c>
      <c r="I74" s="163" t="s">
        <v>553</v>
      </c>
      <c r="K74" s="176" t="s">
        <v>460</v>
      </c>
      <c r="L74" s="177" t="s">
        <v>551</v>
      </c>
      <c r="M74" s="178" t="s">
        <v>460</v>
      </c>
      <c r="N74" s="179" t="s">
        <v>474</v>
      </c>
      <c r="O74" s="179" t="s">
        <v>489</v>
      </c>
      <c r="P74" s="180" t="s">
        <v>562</v>
      </c>
      <c r="Q74" s="4" t="s">
        <v>566</v>
      </c>
    </row>
    <row r="75" spans="2:17" ht="13" x14ac:dyDescent="0.15">
      <c r="B75" s="2">
        <v>2020</v>
      </c>
      <c r="C75" s="181">
        <f t="shared" ref="C75:C79" si="22">E22</f>
        <v>0.13578724535296705</v>
      </c>
      <c r="D75" s="165">
        <v>6.7381781181115374E-2</v>
      </c>
      <c r="F75" s="164">
        <v>0.94817881212372124</v>
      </c>
      <c r="H75" s="164">
        <f t="shared" ref="H75:H79" si="23">E53</f>
        <v>2.1253293743527406</v>
      </c>
      <c r="K75" s="182">
        <v>2020</v>
      </c>
      <c r="L75" s="183">
        <v>0.13578724535296705</v>
      </c>
      <c r="P75" s="97"/>
    </row>
    <row r="76" spans="2:17" ht="13" x14ac:dyDescent="0.15">
      <c r="B76" s="2">
        <v>2021</v>
      </c>
      <c r="C76" s="181">
        <f t="shared" si="22"/>
        <v>9.0882635071242349E-2</v>
      </c>
      <c r="D76" s="165">
        <v>4.4155299801679739E-2</v>
      </c>
      <c r="E76" s="166">
        <f t="shared" ref="E76:E79" si="24">D76-D75</f>
        <v>-2.3226481379435636E-2</v>
      </c>
      <c r="F76" s="164">
        <v>0.65694566123192411</v>
      </c>
      <c r="G76" s="166">
        <f t="shared" ref="G76:G79" si="25">(F76-F75)/F76</f>
        <v>-0.44331391175590995</v>
      </c>
      <c r="H76" s="164">
        <f t="shared" si="23"/>
        <v>3.1330593656435237</v>
      </c>
      <c r="I76" s="167">
        <f t="shared" ref="I76:I79" si="26">(H76-H75)/H76</f>
        <v>0.3216440780986598</v>
      </c>
      <c r="K76" s="182">
        <v>2021</v>
      </c>
      <c r="L76" s="183">
        <v>9.0882635071242349E-2</v>
      </c>
      <c r="M76" s="166">
        <f t="shared" ref="M76:M79" si="27">L76-L75</f>
        <v>-4.4904610281724697E-2</v>
      </c>
      <c r="N76" s="166">
        <v>-2.3226481379435636E-2</v>
      </c>
      <c r="O76" s="166">
        <v>-0.44331391175590995</v>
      </c>
      <c r="P76" s="184">
        <v>0.3216440780986598</v>
      </c>
      <c r="Q76" t="s">
        <v>567</v>
      </c>
    </row>
    <row r="77" spans="2:17" ht="13" x14ac:dyDescent="0.15">
      <c r="B77" s="2">
        <v>2022</v>
      </c>
      <c r="C77" s="181">
        <f t="shared" si="22"/>
        <v>5.8156486043321506E-2</v>
      </c>
      <c r="D77" s="165">
        <v>2.8330167943392437E-2</v>
      </c>
      <c r="E77" s="166">
        <f t="shared" si="24"/>
        <v>-1.5825131858287302E-2</v>
      </c>
      <c r="F77" s="164">
        <v>0.70697743656940137</v>
      </c>
      <c r="G77" s="167">
        <f t="shared" si="25"/>
        <v>7.0768560281436702E-2</v>
      </c>
      <c r="H77" s="164">
        <f t="shared" si="23"/>
        <v>2.9036445769078405</v>
      </c>
      <c r="I77" s="166">
        <f t="shared" si="26"/>
        <v>-7.9009252909318678E-2</v>
      </c>
      <c r="K77" s="182">
        <v>2022</v>
      </c>
      <c r="L77" s="183">
        <v>5.8156486043321506E-2</v>
      </c>
      <c r="M77" s="166">
        <f t="shared" si="27"/>
        <v>-3.2726149027920842E-2</v>
      </c>
      <c r="N77" s="166">
        <v>-1.5825131858287302E-2</v>
      </c>
      <c r="O77" s="167">
        <v>7.0768560281436702E-2</v>
      </c>
      <c r="P77" s="185">
        <v>-7.9009252909318678E-2</v>
      </c>
      <c r="Q77" t="s">
        <v>568</v>
      </c>
    </row>
    <row r="78" spans="2:17" ht="13" x14ac:dyDescent="0.15">
      <c r="B78" s="2">
        <v>2023</v>
      </c>
      <c r="C78" s="181">
        <f t="shared" si="22"/>
        <v>7.7810080030549567E-2</v>
      </c>
      <c r="D78" s="165">
        <v>3.9394748636789489E-2</v>
      </c>
      <c r="E78" s="167">
        <f t="shared" si="24"/>
        <v>1.1064580693397053E-2</v>
      </c>
      <c r="F78" s="164">
        <v>0.77044501798603215</v>
      </c>
      <c r="G78" s="167">
        <f t="shared" si="25"/>
        <v>8.2377820525774914E-2</v>
      </c>
      <c r="H78" s="164">
        <f t="shared" si="23"/>
        <v>2.5636331400558796</v>
      </c>
      <c r="I78" s="166">
        <f t="shared" si="26"/>
        <v>-0.13262874142926301</v>
      </c>
      <c r="K78" s="182">
        <v>2023</v>
      </c>
      <c r="L78" s="183">
        <v>7.7810080030549567E-2</v>
      </c>
      <c r="M78" s="181">
        <f t="shared" si="27"/>
        <v>1.965359398722806E-2</v>
      </c>
      <c r="N78" s="167">
        <v>1.1064580693397053E-2</v>
      </c>
      <c r="O78" s="167">
        <v>8.2377820525774914E-2</v>
      </c>
      <c r="P78" s="185">
        <v>-0.13262874142926301</v>
      </c>
      <c r="Q78" s="1" t="s">
        <v>569</v>
      </c>
    </row>
    <row r="79" spans="2:17" ht="13" x14ac:dyDescent="0.15">
      <c r="B79" s="2">
        <v>2024</v>
      </c>
      <c r="C79" s="181">
        <f t="shared" si="22"/>
        <v>9.859706541924329E-2</v>
      </c>
      <c r="D79" s="165">
        <v>5.7118039281869211E-2</v>
      </c>
      <c r="E79" s="167">
        <f t="shared" si="24"/>
        <v>1.7723290645079721E-2</v>
      </c>
      <c r="F79" s="164">
        <v>0.78270444576748011</v>
      </c>
      <c r="G79" s="167">
        <f t="shared" si="25"/>
        <v>1.5662908071803504E-2</v>
      </c>
      <c r="H79" s="164">
        <f t="shared" si="23"/>
        <v>2.2054280690626684</v>
      </c>
      <c r="I79" s="166">
        <f t="shared" si="26"/>
        <v>-0.16241974790202626</v>
      </c>
      <c r="K79" s="186">
        <v>2024</v>
      </c>
      <c r="L79" s="187">
        <v>9.859706541924329E-2</v>
      </c>
      <c r="M79" s="188">
        <f t="shared" si="27"/>
        <v>2.0786985388693724E-2</v>
      </c>
      <c r="N79" s="189">
        <v>1.7723290645079721E-2</v>
      </c>
      <c r="O79" s="189">
        <v>1.5662908071803504E-2</v>
      </c>
      <c r="P79" s="190">
        <v>-0.16241974790202626</v>
      </c>
      <c r="Q79" s="1" t="s">
        <v>570</v>
      </c>
    </row>
    <row r="80" spans="2:17" ht="13" x14ac:dyDescent="0.15">
      <c r="E80" s="191"/>
      <c r="G80" s="191"/>
      <c r="I80" s="192"/>
      <c r="K80" s="35"/>
      <c r="Q80" s="1"/>
    </row>
    <row r="81" spans="2:17" ht="13" x14ac:dyDescent="0.15">
      <c r="K81" s="35"/>
      <c r="Q81" s="1" t="s">
        <v>571</v>
      </c>
    </row>
    <row r="82" spans="2:17" ht="13" x14ac:dyDescent="0.15">
      <c r="K82" s="35"/>
    </row>
    <row r="83" spans="2:17" ht="13" x14ac:dyDescent="0.15">
      <c r="B83" s="156" t="s">
        <v>548</v>
      </c>
      <c r="C83" s="157"/>
      <c r="E83" s="191"/>
      <c r="G83" s="191"/>
      <c r="I83" s="192"/>
      <c r="M83" s="4" t="s">
        <v>565</v>
      </c>
    </row>
    <row r="84" spans="2:17" ht="13" x14ac:dyDescent="0.15">
      <c r="B84" s="44"/>
      <c r="C84" s="162" t="s">
        <v>551</v>
      </c>
      <c r="D84" s="162" t="s">
        <v>474</v>
      </c>
      <c r="E84" s="163" t="s">
        <v>553</v>
      </c>
      <c r="F84" s="162" t="s">
        <v>489</v>
      </c>
      <c r="G84" s="163" t="s">
        <v>553</v>
      </c>
      <c r="H84" s="162" t="s">
        <v>562</v>
      </c>
      <c r="I84" s="163" t="s">
        <v>553</v>
      </c>
      <c r="K84" s="176" t="s">
        <v>466</v>
      </c>
      <c r="L84" s="177" t="s">
        <v>551</v>
      </c>
      <c r="M84" s="178" t="s">
        <v>466</v>
      </c>
      <c r="N84" s="179" t="s">
        <v>474</v>
      </c>
      <c r="O84" s="179" t="s">
        <v>489</v>
      </c>
      <c r="P84" s="180" t="s">
        <v>562</v>
      </c>
      <c r="Q84" s="4" t="s">
        <v>566</v>
      </c>
    </row>
    <row r="85" spans="2:17" ht="13" x14ac:dyDescent="0.15">
      <c r="B85" s="2">
        <v>2020</v>
      </c>
      <c r="C85" s="165">
        <f t="shared" ref="C85:C89" si="28">K22</f>
        <v>6.1784369652326679E-3</v>
      </c>
      <c r="D85" s="181">
        <f t="shared" ref="D85:D89" si="29">L32</f>
        <v>1.5376552825827134E-2</v>
      </c>
      <c r="E85" s="191"/>
      <c r="F85" s="164">
        <f t="shared" ref="F85:F89" si="30">K43</f>
        <v>0.28577628372450709</v>
      </c>
      <c r="G85" s="193"/>
      <c r="H85" s="194">
        <f t="shared" ref="H85:H89" si="31">K53</f>
        <v>1.4060263226043039</v>
      </c>
      <c r="I85" s="192"/>
      <c r="K85" s="182">
        <v>2020</v>
      </c>
      <c r="L85" s="195">
        <v>6.1784369652326679E-3</v>
      </c>
      <c r="P85" s="97"/>
    </row>
    <row r="86" spans="2:17" ht="13" x14ac:dyDescent="0.15">
      <c r="B86" s="2">
        <v>2021</v>
      </c>
      <c r="C86" s="165">
        <f t="shared" si="28"/>
        <v>3.9843700659239652E-2</v>
      </c>
      <c r="D86" s="181">
        <f t="shared" si="29"/>
        <v>8.1268512395102896E-2</v>
      </c>
      <c r="E86" s="167">
        <f t="shared" ref="E86:E89" si="32">D86-D85</f>
        <v>6.5891959569275765E-2</v>
      </c>
      <c r="F86" s="164">
        <f t="shared" si="30"/>
        <v>0.32723815792751709</v>
      </c>
      <c r="G86" s="167">
        <f t="shared" ref="G86:G89" si="33">(F86-F85)/F86</f>
        <v>0.1267024434607463</v>
      </c>
      <c r="H86" s="194">
        <f t="shared" si="31"/>
        <v>1.4982125104032251</v>
      </c>
      <c r="I86" s="167">
        <f t="shared" ref="I86:I89" si="34">(H86-H85)/H86</f>
        <v>6.1530782288095047E-2</v>
      </c>
      <c r="K86" s="182">
        <v>2021</v>
      </c>
      <c r="L86" s="195">
        <v>3.9843700659239652E-2</v>
      </c>
      <c r="M86" s="181">
        <f t="shared" ref="M86:M89" si="35">L86-L85</f>
        <v>3.3665263694006985E-2</v>
      </c>
      <c r="N86" s="167">
        <v>6.5891959569275765E-2</v>
      </c>
      <c r="O86" s="167">
        <v>0.1267024434607463</v>
      </c>
      <c r="P86" s="184">
        <v>6.1530782288095047E-2</v>
      </c>
      <c r="Q86" s="4" t="s">
        <v>572</v>
      </c>
    </row>
    <row r="87" spans="2:17" ht="13" x14ac:dyDescent="0.15">
      <c r="B87" s="2">
        <v>2022</v>
      </c>
      <c r="C87" s="165">
        <f t="shared" si="28"/>
        <v>3.207707731774212E-2</v>
      </c>
      <c r="D87" s="181">
        <f t="shared" si="29"/>
        <v>5.9589273060595166E-2</v>
      </c>
      <c r="E87" s="166">
        <f t="shared" si="32"/>
        <v>-2.167923933450773E-2</v>
      </c>
      <c r="F87" s="164">
        <f t="shared" si="30"/>
        <v>0.3531457642213951</v>
      </c>
      <c r="G87" s="167">
        <f t="shared" si="33"/>
        <v>7.3362358885992296E-2</v>
      </c>
      <c r="H87" s="194">
        <f t="shared" si="31"/>
        <v>1.5243079055193571</v>
      </c>
      <c r="I87" s="167">
        <f t="shared" si="34"/>
        <v>1.71195038887113E-2</v>
      </c>
      <c r="K87" s="182">
        <v>2022</v>
      </c>
      <c r="L87" s="195">
        <v>3.207707731774212E-2</v>
      </c>
      <c r="M87" s="166">
        <f t="shared" si="35"/>
        <v>-7.7666233414975319E-3</v>
      </c>
      <c r="N87" s="166">
        <v>-2.167923933450773E-2</v>
      </c>
      <c r="O87" s="167">
        <v>7.3362358885992296E-2</v>
      </c>
      <c r="P87" s="184">
        <v>1.71195038887113E-2</v>
      </c>
      <c r="Q87" s="4" t="s">
        <v>573</v>
      </c>
    </row>
    <row r="88" spans="2:17" ht="13" x14ac:dyDescent="0.15">
      <c r="B88" s="2">
        <v>2023</v>
      </c>
      <c r="C88" s="165">
        <f t="shared" si="28"/>
        <v>4.8097726242228691E-3</v>
      </c>
      <c r="D88" s="181">
        <f t="shared" si="29"/>
        <v>9.7871193313474845E-3</v>
      </c>
      <c r="E88" s="166">
        <f t="shared" si="32"/>
        <v>-4.9802153729247678E-2</v>
      </c>
      <c r="F88" s="164">
        <f t="shared" si="30"/>
        <v>0.31730292279668654</v>
      </c>
      <c r="G88" s="166">
        <f t="shared" si="33"/>
        <v>-0.11296095576048332</v>
      </c>
      <c r="H88" s="194">
        <f t="shared" si="31"/>
        <v>1.5488008917237899</v>
      </c>
      <c r="I88" s="167">
        <f t="shared" si="34"/>
        <v>1.581416070672096E-2</v>
      </c>
      <c r="K88" s="182">
        <v>2023</v>
      </c>
      <c r="L88" s="195">
        <v>4.8097726242228691E-3</v>
      </c>
      <c r="M88" s="166">
        <f t="shared" si="35"/>
        <v>-2.7267304693519252E-2</v>
      </c>
      <c r="N88" s="166">
        <v>-4.9802153729247678E-2</v>
      </c>
      <c r="O88" s="166">
        <v>-0.11296095576048332</v>
      </c>
      <c r="P88" s="184">
        <v>1.581416070672096E-2</v>
      </c>
      <c r="Q88" s="4" t="s">
        <v>574</v>
      </c>
    </row>
    <row r="89" spans="2:17" ht="13" x14ac:dyDescent="0.15">
      <c r="B89" s="2">
        <v>2024</v>
      </c>
      <c r="C89" s="165">
        <f t="shared" si="28"/>
        <v>-7.8835280174964599E-3</v>
      </c>
      <c r="D89" s="181">
        <f t="shared" si="29"/>
        <v>-1.6006903996741057E-2</v>
      </c>
      <c r="E89" s="166">
        <f t="shared" si="32"/>
        <v>-2.5794023328088542E-2</v>
      </c>
      <c r="F89" s="164">
        <f t="shared" si="30"/>
        <v>0.32267353995101594</v>
      </c>
      <c r="G89" s="167">
        <f t="shared" si="33"/>
        <v>1.6644120107104851E-2</v>
      </c>
      <c r="H89" s="194">
        <f t="shared" si="31"/>
        <v>1.5263352057733501</v>
      </c>
      <c r="I89" s="166">
        <f t="shared" si="34"/>
        <v>-1.4718710454599665E-2</v>
      </c>
      <c r="K89" s="186">
        <v>2024</v>
      </c>
      <c r="L89" s="196">
        <v>-7.8835280174964599E-3</v>
      </c>
      <c r="M89" s="197">
        <f t="shared" si="35"/>
        <v>-1.2693300641719328E-2</v>
      </c>
      <c r="N89" s="166">
        <v>-2.5794023328088542E-2</v>
      </c>
      <c r="O89" s="189">
        <v>1.6644120107104851E-2</v>
      </c>
      <c r="P89" s="190">
        <v>-1.4718710454599665E-2</v>
      </c>
      <c r="Q89" s="4" t="s">
        <v>575</v>
      </c>
    </row>
    <row r="90" spans="2:17" ht="13" x14ac:dyDescent="0.15">
      <c r="I90" s="181"/>
    </row>
    <row r="91" spans="2:17" ht="13" x14ac:dyDescent="0.15">
      <c r="Q91" s="4" t="s">
        <v>576</v>
      </c>
    </row>
  </sheetData>
  <hyperlinks>
    <hyperlink ref="R3" r:id="rId1" xr:uid="{00000000-0004-0000-0900-000000000000}"/>
    <hyperlink ref="G6" r:id="rId2" location="topicOverview" xr:uid="{00000000-0004-0000-0900-000001000000}"/>
    <hyperlink ref="D19" r:id="rId3" xr:uid="{00000000-0004-0000-0900-000002000000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IWB Income Statements</vt:lpstr>
      <vt:lpstr>2. IWB Balance Sheet</vt:lpstr>
      <vt:lpstr>3. IWB Cash-Flow</vt:lpstr>
      <vt:lpstr>4. MASI Income Statements</vt:lpstr>
      <vt:lpstr>5. MASI Balance Sheet</vt:lpstr>
      <vt:lpstr>6. MASI Cash Flow</vt:lpstr>
      <vt:lpstr>7. Horizontal Analysis</vt:lpstr>
      <vt:lpstr>8. Vertical Analysis</vt:lpstr>
      <vt:lpstr>9. Ratios Categories</vt:lpstr>
      <vt:lpstr>10. Performance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Alice Williams - alice.williams@studio.unibo.it</cp:lastModifiedBy>
  <dcterms:created xsi:type="dcterms:W3CDTF">2025-12-01T07:28:33Z</dcterms:created>
  <dcterms:modified xsi:type="dcterms:W3CDTF">2025-12-01T07:39:18Z</dcterms:modified>
</cp:coreProperties>
</file>